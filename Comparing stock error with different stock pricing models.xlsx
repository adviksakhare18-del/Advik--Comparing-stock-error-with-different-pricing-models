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oti\OneDrive\Desktop\Finahhhnce\Excel stuff\"/>
    </mc:Choice>
  </mc:AlternateContent>
  <xr:revisionPtr revIDLastSave="0" documentId="13_ncr:1_{FB53ADD4-042A-45BC-8BA0-B1CF82F9D5C9}" xr6:coauthVersionLast="47" xr6:coauthVersionMax="47" xr10:uidLastSave="{00000000-0000-0000-0000-000000000000}"/>
  <bookViews>
    <workbookView xWindow="-110" yWindow="-110" windowWidth="19420" windowHeight="10300" xr2:uid="{F08690EF-40B0-4014-BCBE-A6CEAEA368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2" i="1" l="1"/>
  <c r="P21" i="1"/>
  <c r="P20" i="1"/>
  <c r="O20" i="1"/>
  <c r="O22" i="1"/>
  <c r="O21" i="1"/>
  <c r="A2" i="1" a="1"/>
  <c r="K2" i="1" a="1"/>
  <c r="E477" i="1" l="1"/>
  <c r="E489" i="1"/>
  <c r="E501" i="1"/>
  <c r="E482" i="1"/>
  <c r="E484" i="1"/>
  <c r="E498" i="1"/>
  <c r="E500" i="1"/>
  <c r="E478" i="1"/>
  <c r="E490" i="1"/>
  <c r="E502" i="1"/>
  <c r="E493" i="1"/>
  <c r="E483" i="1"/>
  <c r="E486" i="1"/>
  <c r="E488" i="1"/>
  <c r="E479" i="1"/>
  <c r="E491" i="1"/>
  <c r="E503" i="1"/>
  <c r="E494" i="1"/>
  <c r="E495" i="1"/>
  <c r="E497" i="1"/>
  <c r="E487" i="1"/>
  <c r="E480" i="1"/>
  <c r="E492" i="1"/>
  <c r="E504" i="1"/>
  <c r="E481" i="1"/>
  <c r="E496" i="1"/>
  <c r="E485" i="1"/>
  <c r="E499" i="1"/>
  <c r="E5" i="1"/>
  <c r="E17" i="1"/>
  <c r="E29" i="1"/>
  <c r="E41" i="1"/>
  <c r="E53" i="1"/>
  <c r="E65" i="1"/>
  <c r="E77" i="1"/>
  <c r="E89" i="1"/>
  <c r="E101" i="1"/>
  <c r="E113" i="1"/>
  <c r="E125" i="1"/>
  <c r="E137" i="1"/>
  <c r="E149" i="1"/>
  <c r="E161" i="1"/>
  <c r="E173" i="1"/>
  <c r="E185" i="1"/>
  <c r="E197" i="1"/>
  <c r="E209" i="1"/>
  <c r="E221" i="1"/>
  <c r="E233" i="1"/>
  <c r="E245" i="1"/>
  <c r="E257" i="1"/>
  <c r="E269" i="1"/>
  <c r="E281" i="1"/>
  <c r="E293" i="1"/>
  <c r="E305" i="1"/>
  <c r="E317" i="1"/>
  <c r="E329" i="1"/>
  <c r="E341" i="1"/>
  <c r="E353" i="1"/>
  <c r="E365" i="1"/>
  <c r="E377" i="1"/>
  <c r="E389" i="1"/>
  <c r="E401" i="1"/>
  <c r="E413" i="1"/>
  <c r="E425" i="1"/>
  <c r="E437" i="1"/>
  <c r="E449" i="1"/>
  <c r="E461" i="1"/>
  <c r="E473" i="1"/>
  <c r="E92" i="1"/>
  <c r="E116" i="1"/>
  <c r="E152" i="1"/>
  <c r="E188" i="1"/>
  <c r="E224" i="1"/>
  <c r="E260" i="1"/>
  <c r="E308" i="1"/>
  <c r="E344" i="1"/>
  <c r="E380" i="1"/>
  <c r="E428" i="1"/>
  <c r="E476" i="1"/>
  <c r="E441" i="1"/>
  <c r="E430" i="1"/>
  <c r="E47" i="1"/>
  <c r="E71" i="1"/>
  <c r="E107" i="1"/>
  <c r="E143" i="1"/>
  <c r="E203" i="1"/>
  <c r="E251" i="1"/>
  <c r="E299" i="1"/>
  <c r="E359" i="1"/>
  <c r="E419" i="1"/>
  <c r="E12" i="1"/>
  <c r="E132" i="1"/>
  <c r="E240" i="1"/>
  <c r="E312" i="1"/>
  <c r="E372" i="1"/>
  <c r="E420" i="1"/>
  <c r="E49" i="1"/>
  <c r="E109" i="1"/>
  <c r="E169" i="1"/>
  <c r="E229" i="1"/>
  <c r="E289" i="1"/>
  <c r="E349" i="1"/>
  <c r="E409" i="1"/>
  <c r="E14" i="1"/>
  <c r="E74" i="1"/>
  <c r="E146" i="1"/>
  <c r="E218" i="1"/>
  <c r="E290" i="1"/>
  <c r="E350" i="1"/>
  <c r="E6" i="1"/>
  <c r="E18" i="1"/>
  <c r="E30" i="1"/>
  <c r="E42" i="1"/>
  <c r="E54" i="1"/>
  <c r="E66" i="1"/>
  <c r="E78" i="1"/>
  <c r="E90" i="1"/>
  <c r="E102" i="1"/>
  <c r="E114" i="1"/>
  <c r="E126" i="1"/>
  <c r="E138" i="1"/>
  <c r="E150" i="1"/>
  <c r="E162" i="1"/>
  <c r="E174" i="1"/>
  <c r="E186" i="1"/>
  <c r="E198" i="1"/>
  <c r="E210" i="1"/>
  <c r="E222" i="1"/>
  <c r="E234" i="1"/>
  <c r="E246" i="1"/>
  <c r="E258" i="1"/>
  <c r="E270" i="1"/>
  <c r="E282" i="1"/>
  <c r="E294" i="1"/>
  <c r="E306" i="1"/>
  <c r="E318" i="1"/>
  <c r="E330" i="1"/>
  <c r="E342" i="1"/>
  <c r="E354" i="1"/>
  <c r="E366" i="1"/>
  <c r="E378" i="1"/>
  <c r="E390" i="1"/>
  <c r="E402" i="1"/>
  <c r="E414" i="1"/>
  <c r="E426" i="1"/>
  <c r="E438" i="1"/>
  <c r="E450" i="1"/>
  <c r="E462" i="1"/>
  <c r="E474" i="1"/>
  <c r="E80" i="1"/>
  <c r="E104" i="1"/>
  <c r="E140" i="1"/>
  <c r="E176" i="1"/>
  <c r="E212" i="1"/>
  <c r="E248" i="1"/>
  <c r="E284" i="1"/>
  <c r="E320" i="1"/>
  <c r="E356" i="1"/>
  <c r="E392" i="1"/>
  <c r="E416" i="1"/>
  <c r="E452" i="1"/>
  <c r="E405" i="1"/>
  <c r="E453" i="1"/>
  <c r="E466" i="1"/>
  <c r="E11" i="1"/>
  <c r="E95" i="1"/>
  <c r="E131" i="1"/>
  <c r="E179" i="1"/>
  <c r="E227" i="1"/>
  <c r="E287" i="1"/>
  <c r="E335" i="1"/>
  <c r="E395" i="1"/>
  <c r="E455" i="1"/>
  <c r="E48" i="1"/>
  <c r="E84" i="1"/>
  <c r="E156" i="1"/>
  <c r="E216" i="1"/>
  <c r="E288" i="1"/>
  <c r="E336" i="1"/>
  <c r="E396" i="1"/>
  <c r="E444" i="1"/>
  <c r="E25" i="1"/>
  <c r="E85" i="1"/>
  <c r="E157" i="1"/>
  <c r="E217" i="1"/>
  <c r="E277" i="1"/>
  <c r="E337" i="1"/>
  <c r="E397" i="1"/>
  <c r="E457" i="1"/>
  <c r="E38" i="1"/>
  <c r="E86" i="1"/>
  <c r="E134" i="1"/>
  <c r="E194" i="1"/>
  <c r="E266" i="1"/>
  <c r="E7" i="1"/>
  <c r="E19" i="1"/>
  <c r="E31" i="1"/>
  <c r="E43" i="1"/>
  <c r="E55" i="1"/>
  <c r="E67" i="1"/>
  <c r="E79" i="1"/>
  <c r="E91" i="1"/>
  <c r="E103" i="1"/>
  <c r="E115" i="1"/>
  <c r="E127" i="1"/>
  <c r="E139" i="1"/>
  <c r="E151" i="1"/>
  <c r="E163" i="1"/>
  <c r="E175" i="1"/>
  <c r="E187" i="1"/>
  <c r="E199" i="1"/>
  <c r="E211" i="1"/>
  <c r="E223" i="1"/>
  <c r="E235" i="1"/>
  <c r="E247" i="1"/>
  <c r="E259" i="1"/>
  <c r="E271" i="1"/>
  <c r="E283" i="1"/>
  <c r="E295" i="1"/>
  <c r="E307" i="1"/>
  <c r="E319" i="1"/>
  <c r="E331" i="1"/>
  <c r="E343" i="1"/>
  <c r="E355" i="1"/>
  <c r="E367" i="1"/>
  <c r="E379" i="1"/>
  <c r="E391" i="1"/>
  <c r="E403" i="1"/>
  <c r="E415" i="1"/>
  <c r="E427" i="1"/>
  <c r="E439" i="1"/>
  <c r="E451" i="1"/>
  <c r="E463" i="1"/>
  <c r="E475" i="1"/>
  <c r="E68" i="1"/>
  <c r="E128" i="1"/>
  <c r="E164" i="1"/>
  <c r="E200" i="1"/>
  <c r="E236" i="1"/>
  <c r="E272" i="1"/>
  <c r="E296" i="1"/>
  <c r="E332" i="1"/>
  <c r="E368" i="1"/>
  <c r="E404" i="1"/>
  <c r="E440" i="1"/>
  <c r="E464" i="1"/>
  <c r="E417" i="1"/>
  <c r="E465" i="1"/>
  <c r="E442" i="1"/>
  <c r="E35" i="1"/>
  <c r="E83" i="1"/>
  <c r="E119" i="1"/>
  <c r="E167" i="1"/>
  <c r="E215" i="1"/>
  <c r="E275" i="1"/>
  <c r="E347" i="1"/>
  <c r="E407" i="1"/>
  <c r="E467" i="1"/>
  <c r="E60" i="1"/>
  <c r="E96" i="1"/>
  <c r="E168" i="1"/>
  <c r="E228" i="1"/>
  <c r="E276" i="1"/>
  <c r="E324" i="1"/>
  <c r="E408" i="1"/>
  <c r="E13" i="1"/>
  <c r="E8" i="1"/>
  <c r="E20" i="1"/>
  <c r="E32" i="1"/>
  <c r="E44" i="1"/>
  <c r="E56" i="1"/>
  <c r="E72" i="1"/>
  <c r="E144" i="1"/>
  <c r="E204" i="1"/>
  <c r="E300" i="1"/>
  <c r="E384" i="1"/>
  <c r="E432" i="1"/>
  <c r="E37" i="1"/>
  <c r="E97" i="1"/>
  <c r="E181" i="1"/>
  <c r="E241" i="1"/>
  <c r="E301" i="1"/>
  <c r="E361" i="1"/>
  <c r="E421" i="1"/>
  <c r="E469" i="1"/>
  <c r="E50" i="1"/>
  <c r="E110" i="1"/>
  <c r="E158" i="1"/>
  <c r="E206" i="1"/>
  <c r="E278" i="1"/>
  <c r="E338" i="1"/>
  <c r="E9" i="1"/>
  <c r="E21" i="1"/>
  <c r="E33" i="1"/>
  <c r="E45" i="1"/>
  <c r="E57" i="1"/>
  <c r="E69" i="1"/>
  <c r="E81" i="1"/>
  <c r="E93" i="1"/>
  <c r="E105" i="1"/>
  <c r="E117" i="1"/>
  <c r="E129" i="1"/>
  <c r="E141" i="1"/>
  <c r="E153" i="1"/>
  <c r="E165" i="1"/>
  <c r="E177" i="1"/>
  <c r="E189" i="1"/>
  <c r="E201" i="1"/>
  <c r="E213" i="1"/>
  <c r="E225" i="1"/>
  <c r="E237" i="1"/>
  <c r="E249" i="1"/>
  <c r="E261" i="1"/>
  <c r="E273" i="1"/>
  <c r="E285" i="1"/>
  <c r="E297" i="1"/>
  <c r="E309" i="1"/>
  <c r="E321" i="1"/>
  <c r="E333" i="1"/>
  <c r="E345" i="1"/>
  <c r="E357" i="1"/>
  <c r="E369" i="1"/>
  <c r="E381" i="1"/>
  <c r="E393" i="1"/>
  <c r="E429" i="1"/>
  <c r="E23" i="1"/>
  <c r="E191" i="1"/>
  <c r="E263" i="1"/>
  <c r="E323" i="1"/>
  <c r="E383" i="1"/>
  <c r="E443" i="1"/>
  <c r="E24" i="1"/>
  <c r="E108" i="1"/>
  <c r="E180" i="1"/>
  <c r="E264" i="1"/>
  <c r="E348" i="1"/>
  <c r="E456" i="1"/>
  <c r="E73" i="1"/>
  <c r="E133" i="1"/>
  <c r="E193" i="1"/>
  <c r="E253" i="1"/>
  <c r="E325" i="1"/>
  <c r="E385" i="1"/>
  <c r="E445" i="1"/>
  <c r="E26" i="1"/>
  <c r="E98" i="1"/>
  <c r="E182" i="1"/>
  <c r="E254" i="1"/>
  <c r="E302" i="1"/>
  <c r="E10" i="1"/>
  <c r="E22" i="1"/>
  <c r="E34" i="1"/>
  <c r="E46" i="1"/>
  <c r="E58" i="1"/>
  <c r="E70" i="1"/>
  <c r="E82" i="1"/>
  <c r="E94" i="1"/>
  <c r="E106" i="1"/>
  <c r="E118" i="1"/>
  <c r="E130" i="1"/>
  <c r="E142" i="1"/>
  <c r="E154" i="1"/>
  <c r="E166" i="1"/>
  <c r="E178" i="1"/>
  <c r="E190" i="1"/>
  <c r="E202" i="1"/>
  <c r="E214" i="1"/>
  <c r="E226" i="1"/>
  <c r="E238" i="1"/>
  <c r="E250" i="1"/>
  <c r="E262" i="1"/>
  <c r="E274" i="1"/>
  <c r="E286" i="1"/>
  <c r="E298" i="1"/>
  <c r="E310" i="1"/>
  <c r="E322" i="1"/>
  <c r="E334" i="1"/>
  <c r="E346" i="1"/>
  <c r="E358" i="1"/>
  <c r="E370" i="1"/>
  <c r="E382" i="1"/>
  <c r="E394" i="1"/>
  <c r="E406" i="1"/>
  <c r="E418" i="1"/>
  <c r="E454" i="1"/>
  <c r="E59" i="1"/>
  <c r="E155" i="1"/>
  <c r="E239" i="1"/>
  <c r="E311" i="1"/>
  <c r="E371" i="1"/>
  <c r="E431" i="1"/>
  <c r="E36" i="1"/>
  <c r="E120" i="1"/>
  <c r="E192" i="1"/>
  <c r="E252" i="1"/>
  <c r="E360" i="1"/>
  <c r="E468" i="1"/>
  <c r="E61" i="1"/>
  <c r="E145" i="1"/>
  <c r="E205" i="1"/>
  <c r="E265" i="1"/>
  <c r="E313" i="1"/>
  <c r="E373" i="1"/>
  <c r="E433" i="1"/>
  <c r="E4" i="1"/>
  <c r="E62" i="1"/>
  <c r="E122" i="1"/>
  <c r="E170" i="1"/>
  <c r="E242" i="1"/>
  <c r="E314" i="1"/>
  <c r="E230" i="1"/>
  <c r="E76" i="1"/>
  <c r="E147" i="1"/>
  <c r="E219" i="1"/>
  <c r="E291" i="1"/>
  <c r="E352" i="1"/>
  <c r="E400" i="1"/>
  <c r="E448" i="1"/>
  <c r="E304" i="1"/>
  <c r="E422" i="1"/>
  <c r="E111" i="1"/>
  <c r="E471" i="1"/>
  <c r="E326" i="1"/>
  <c r="E121" i="1"/>
  <c r="E123" i="1"/>
  <c r="E435" i="1"/>
  <c r="E268" i="1"/>
  <c r="E207" i="1"/>
  <c r="E446" i="1"/>
  <c r="E351" i="1"/>
  <c r="E15" i="1"/>
  <c r="E87" i="1"/>
  <c r="E148" i="1"/>
  <c r="E220" i="1"/>
  <c r="E292" i="1"/>
  <c r="E362" i="1"/>
  <c r="E410" i="1"/>
  <c r="E458" i="1"/>
  <c r="E412" i="1"/>
  <c r="E374" i="1"/>
  <c r="E172" i="1"/>
  <c r="E375" i="1"/>
  <c r="E40" i="1"/>
  <c r="E376" i="1"/>
  <c r="E256" i="1"/>
  <c r="E386" i="1"/>
  <c r="E267" i="1"/>
  <c r="E63" i="1"/>
  <c r="E388" i="1"/>
  <c r="E279" i="1"/>
  <c r="E75" i="1"/>
  <c r="E447" i="1"/>
  <c r="E16" i="1"/>
  <c r="E88" i="1"/>
  <c r="E159" i="1"/>
  <c r="E231" i="1"/>
  <c r="E303" i="1"/>
  <c r="E363" i="1"/>
  <c r="E411" i="1"/>
  <c r="E459" i="1"/>
  <c r="E364" i="1"/>
  <c r="E470" i="1"/>
  <c r="E39" i="1"/>
  <c r="E255" i="1"/>
  <c r="E424" i="1"/>
  <c r="E184" i="1"/>
  <c r="E52" i="1"/>
  <c r="E387" i="1"/>
  <c r="E339" i="1"/>
  <c r="E135" i="1"/>
  <c r="E208" i="1"/>
  <c r="E27" i="1"/>
  <c r="E99" i="1"/>
  <c r="E160" i="1"/>
  <c r="E232" i="1"/>
  <c r="E460" i="1"/>
  <c r="E316" i="1"/>
  <c r="E112" i="1"/>
  <c r="E472" i="1"/>
  <c r="E327" i="1"/>
  <c r="E195" i="1"/>
  <c r="E124" i="1"/>
  <c r="E436" i="1"/>
  <c r="E340" i="1"/>
  <c r="E136" i="1"/>
  <c r="E28" i="1"/>
  <c r="E100" i="1"/>
  <c r="E171" i="1"/>
  <c r="E243" i="1"/>
  <c r="E315" i="1"/>
  <c r="E244" i="1"/>
  <c r="E423" i="1"/>
  <c r="E183" i="1"/>
  <c r="E51" i="1"/>
  <c r="E434" i="1"/>
  <c r="E328" i="1"/>
  <c r="E196" i="1"/>
  <c r="E64" i="1"/>
  <c r="E398" i="1"/>
  <c r="E280" i="1"/>
  <c r="E399" i="1"/>
  <c r="A2" i="1"/>
  <c r="F217" i="1"/>
  <c r="F229" i="1"/>
  <c r="F241" i="1"/>
  <c r="F253" i="1"/>
  <c r="F265" i="1"/>
  <c r="F277" i="1"/>
  <c r="F289" i="1"/>
  <c r="F301" i="1"/>
  <c r="F313" i="1"/>
  <c r="F325" i="1"/>
  <c r="F337" i="1"/>
  <c r="F349" i="1"/>
  <c r="F361" i="1"/>
  <c r="F373" i="1"/>
  <c r="F385" i="1"/>
  <c r="F397" i="1"/>
  <c r="F409" i="1"/>
  <c r="F421" i="1"/>
  <c r="F433" i="1"/>
  <c r="F445" i="1"/>
  <c r="F457" i="1"/>
  <c r="F469" i="1"/>
  <c r="F481" i="1"/>
  <c r="F493" i="1"/>
  <c r="F4" i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350" i="1"/>
  <c r="F386" i="1"/>
  <c r="F410" i="1"/>
  <c r="F434" i="1"/>
  <c r="F446" i="1"/>
  <c r="F470" i="1"/>
  <c r="F494" i="1"/>
  <c r="F220" i="1"/>
  <c r="F256" i="1"/>
  <c r="F292" i="1"/>
  <c r="F316" i="1"/>
  <c r="F352" i="1"/>
  <c r="F388" i="1"/>
  <c r="F436" i="1"/>
  <c r="F472" i="1"/>
  <c r="F246" i="1"/>
  <c r="F294" i="1"/>
  <c r="F354" i="1"/>
  <c r="F402" i="1"/>
  <c r="F474" i="1"/>
  <c r="F235" i="1"/>
  <c r="F295" i="1"/>
  <c r="F343" i="1"/>
  <c r="F403" i="1"/>
  <c r="F451" i="1"/>
  <c r="F499" i="1"/>
  <c r="F248" i="1"/>
  <c r="F218" i="1"/>
  <c r="F230" i="1"/>
  <c r="F242" i="1"/>
  <c r="F254" i="1"/>
  <c r="F266" i="1"/>
  <c r="F278" i="1"/>
  <c r="F290" i="1"/>
  <c r="F302" i="1"/>
  <c r="F314" i="1"/>
  <c r="F326" i="1"/>
  <c r="F338" i="1"/>
  <c r="F362" i="1"/>
  <c r="F374" i="1"/>
  <c r="F398" i="1"/>
  <c r="F422" i="1"/>
  <c r="F458" i="1"/>
  <c r="F482" i="1"/>
  <c r="F244" i="1"/>
  <c r="F280" i="1"/>
  <c r="F328" i="1"/>
  <c r="F364" i="1"/>
  <c r="F400" i="1"/>
  <c r="F448" i="1"/>
  <c r="F484" i="1"/>
  <c r="F234" i="1"/>
  <c r="F318" i="1"/>
  <c r="F390" i="1"/>
  <c r="F462" i="1"/>
  <c r="F247" i="1"/>
  <c r="F355" i="1"/>
  <c r="F439" i="1"/>
  <c r="F236" i="1"/>
  <c r="F308" i="1"/>
  <c r="F219" i="1"/>
  <c r="F231" i="1"/>
  <c r="F243" i="1"/>
  <c r="F255" i="1"/>
  <c r="F267" i="1"/>
  <c r="F279" i="1"/>
  <c r="F291" i="1"/>
  <c r="F303" i="1"/>
  <c r="F315" i="1"/>
  <c r="F327" i="1"/>
  <c r="F339" i="1"/>
  <c r="F351" i="1"/>
  <c r="F363" i="1"/>
  <c r="F375" i="1"/>
  <c r="F387" i="1"/>
  <c r="F399" i="1"/>
  <c r="F411" i="1"/>
  <c r="F423" i="1"/>
  <c r="F435" i="1"/>
  <c r="F447" i="1"/>
  <c r="F459" i="1"/>
  <c r="F471" i="1"/>
  <c r="F483" i="1"/>
  <c r="F495" i="1"/>
  <c r="F208" i="1"/>
  <c r="F232" i="1"/>
  <c r="F268" i="1"/>
  <c r="F304" i="1"/>
  <c r="F340" i="1"/>
  <c r="F376" i="1"/>
  <c r="F424" i="1"/>
  <c r="F460" i="1"/>
  <c r="F496" i="1"/>
  <c r="F210" i="1"/>
  <c r="F270" i="1"/>
  <c r="F306" i="1"/>
  <c r="F366" i="1"/>
  <c r="F426" i="1"/>
  <c r="F486" i="1"/>
  <c r="F211" i="1"/>
  <c r="F271" i="1"/>
  <c r="F272" i="1" s="1"/>
  <c r="F307" i="1"/>
  <c r="F367" i="1"/>
  <c r="F427" i="1"/>
  <c r="F487" i="1"/>
  <c r="F224" i="1"/>
  <c r="F260" i="1"/>
  <c r="F296" i="1"/>
  <c r="F412" i="1"/>
  <c r="F258" i="1"/>
  <c r="F342" i="1"/>
  <c r="F414" i="1"/>
  <c r="F450" i="1"/>
  <c r="F223" i="1"/>
  <c r="F283" i="1"/>
  <c r="F331" i="1"/>
  <c r="F391" i="1"/>
  <c r="F463" i="1"/>
  <c r="F284" i="1"/>
  <c r="F344" i="1"/>
  <c r="F209" i="1"/>
  <c r="F221" i="1"/>
  <c r="F233" i="1"/>
  <c r="F245" i="1"/>
  <c r="F257" i="1"/>
  <c r="F269" i="1"/>
  <c r="F281" i="1"/>
  <c r="F293" i="1"/>
  <c r="F305" i="1"/>
  <c r="F317" i="1"/>
  <c r="F329" i="1"/>
  <c r="F341" i="1"/>
  <c r="F353" i="1"/>
  <c r="F365" i="1"/>
  <c r="F377" i="1"/>
  <c r="F389" i="1"/>
  <c r="F401" i="1"/>
  <c r="F413" i="1"/>
  <c r="F425" i="1"/>
  <c r="F437" i="1"/>
  <c r="F449" i="1"/>
  <c r="F461" i="1"/>
  <c r="F473" i="1"/>
  <c r="F485" i="1"/>
  <c r="F497" i="1"/>
  <c r="F222" i="1"/>
  <c r="F282" i="1"/>
  <c r="F330" i="1"/>
  <c r="F378" i="1"/>
  <c r="F438" i="1"/>
  <c r="F498" i="1"/>
  <c r="F259" i="1"/>
  <c r="F319" i="1"/>
  <c r="F379" i="1"/>
  <c r="F415" i="1"/>
  <c r="F475" i="1"/>
  <c r="F212" i="1"/>
  <c r="F320" i="1"/>
  <c r="F225" i="1"/>
  <c r="F261" i="1"/>
  <c r="F297" i="1"/>
  <c r="F332" i="1"/>
  <c r="F359" i="1"/>
  <c r="F392" i="1"/>
  <c r="F418" i="1"/>
  <c r="F444" i="1"/>
  <c r="F477" i="1"/>
  <c r="F503" i="1"/>
  <c r="F263" i="1"/>
  <c r="F334" i="1"/>
  <c r="F394" i="1"/>
  <c r="F453" i="1"/>
  <c r="F264" i="1"/>
  <c r="F335" i="1"/>
  <c r="F395" i="1"/>
  <c r="F454" i="1"/>
  <c r="F455" i="1" s="1"/>
  <c r="F274" i="1"/>
  <c r="F371" i="1"/>
  <c r="F456" i="1"/>
  <c r="F239" i="1"/>
  <c r="F346" i="1"/>
  <c r="F431" i="1"/>
  <c r="F276" i="1"/>
  <c r="F406" i="1"/>
  <c r="F491" i="1"/>
  <c r="F285" i="1"/>
  <c r="F348" i="1"/>
  <c r="F440" i="1"/>
  <c r="F214" i="1"/>
  <c r="F382" i="1"/>
  <c r="F467" i="1"/>
  <c r="F287" i="1"/>
  <c r="F442" i="1"/>
  <c r="F288" i="1"/>
  <c r="F476" i="1"/>
  <c r="F226" i="1"/>
  <c r="F262" i="1"/>
  <c r="F298" i="1"/>
  <c r="F299" i="1" s="1"/>
  <c r="F333" i="1"/>
  <c r="F360" i="1"/>
  <c r="F393" i="1"/>
  <c r="F419" i="1"/>
  <c r="F452" i="1"/>
  <c r="F478" i="1"/>
  <c r="F504" i="1"/>
  <c r="F227" i="1"/>
  <c r="F368" i="1"/>
  <c r="F420" i="1"/>
  <c r="F479" i="1"/>
  <c r="F228" i="1"/>
  <c r="F300" i="1"/>
  <c r="F369" i="1"/>
  <c r="F428" i="1"/>
  <c r="F480" i="1"/>
  <c r="F310" i="1"/>
  <c r="F404" i="1"/>
  <c r="F489" i="1"/>
  <c r="F311" i="1"/>
  <c r="F405" i="1"/>
  <c r="F490" i="1"/>
  <c r="F240" i="1"/>
  <c r="F380" i="1"/>
  <c r="F465" i="1"/>
  <c r="F213" i="1"/>
  <c r="F321" i="1"/>
  <c r="F381" i="1"/>
  <c r="F466" i="1"/>
  <c r="F286" i="1"/>
  <c r="F441" i="1"/>
  <c r="F251" i="1"/>
  <c r="F416" i="1"/>
  <c r="F252" i="1"/>
  <c r="F384" i="1"/>
  <c r="F502" i="1"/>
  <c r="F237" i="1"/>
  <c r="F273" i="1"/>
  <c r="F309" i="1"/>
  <c r="F336" i="1"/>
  <c r="F370" i="1"/>
  <c r="F396" i="1"/>
  <c r="F429" i="1"/>
  <c r="F488" i="1"/>
  <c r="F238" i="1"/>
  <c r="F345" i="1"/>
  <c r="F430" i="1"/>
  <c r="F275" i="1"/>
  <c r="F372" i="1"/>
  <c r="F464" i="1"/>
  <c r="F312" i="1"/>
  <c r="F432" i="1"/>
  <c r="F249" i="1"/>
  <c r="F407" i="1"/>
  <c r="F492" i="1"/>
  <c r="F250" i="1"/>
  <c r="F408" i="1"/>
  <c r="F500" i="1"/>
  <c r="F357" i="1"/>
  <c r="F468" i="1"/>
  <c r="F358" i="1"/>
  <c r="F356" i="1"/>
  <c r="F323" i="1"/>
  <c r="F501" i="1"/>
  <c r="F324" i="1"/>
  <c r="F443" i="1"/>
  <c r="F347" i="1"/>
  <c r="F322" i="1"/>
  <c r="F215" i="1"/>
  <c r="F383" i="1"/>
  <c r="F216" i="1"/>
  <c r="F417" i="1"/>
  <c r="W3" i="1"/>
  <c r="C4" i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D4" i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D403" i="1" s="1"/>
  <c r="D404" i="1" s="1"/>
  <c r="D405" i="1" s="1"/>
  <c r="D406" i="1" s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K2" i="1"/>
  <c r="S3" i="1"/>
  <c r="O3" i="1"/>
  <c r="C35" i="1" l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C403" i="1" s="1"/>
  <c r="C404" i="1" s="1"/>
  <c r="C405" i="1" s="1"/>
  <c r="C406" i="1" s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X3" i="1"/>
  <c r="I6" i="1"/>
  <c r="H6" i="1"/>
  <c r="I9" i="1"/>
  <c r="H9" i="1"/>
  <c r="H12" i="1" a="1"/>
  <c r="I5" i="1" l="1"/>
  <c r="H5" i="1"/>
  <c r="O4" i="1"/>
  <c r="O5" i="1" s="1"/>
  <c r="P5" i="1" s="1"/>
  <c r="H12" i="1"/>
  <c r="H15" i="1" s="1"/>
  <c r="W4" i="1" l="1"/>
  <c r="W5" i="1" s="1"/>
  <c r="W6" i="1" s="1"/>
  <c r="W7" i="1" s="1"/>
  <c r="W8" i="1" s="1"/>
  <c r="W9" i="1" s="1"/>
  <c r="W10" i="1" s="1"/>
  <c r="W11" i="1" s="1"/>
  <c r="W12" i="1" s="1"/>
  <c r="W13" i="1" s="1"/>
  <c r="S4" i="1"/>
  <c r="S5" i="1" s="1"/>
  <c r="S6" i="1" s="1"/>
  <c r="S7" i="1" s="1"/>
  <c r="S8" i="1" s="1"/>
  <c r="S9" i="1" s="1"/>
  <c r="S10" i="1" s="1"/>
  <c r="S11" i="1" s="1"/>
  <c r="S12" i="1" s="1"/>
  <c r="S13" i="1" s="1"/>
  <c r="P4" i="1"/>
  <c r="I15" i="1"/>
  <c r="O6" i="1"/>
  <c r="O7" i="1" s="1"/>
  <c r="X5" i="1" l="1"/>
  <c r="X4" i="1"/>
  <c r="T4" i="1"/>
  <c r="P6" i="1"/>
  <c r="P7" i="1"/>
  <c r="O8" i="1"/>
  <c r="X6" i="1" l="1"/>
  <c r="X7" i="1"/>
  <c r="T5" i="1"/>
  <c r="O9" i="1"/>
  <c r="P8" i="1"/>
  <c r="X8" i="1" l="1"/>
  <c r="T6" i="1"/>
  <c r="O10" i="1"/>
  <c r="P9" i="1"/>
  <c r="X9" i="1" l="1"/>
  <c r="T7" i="1"/>
  <c r="O11" i="1"/>
  <c r="P10" i="1"/>
  <c r="X10" i="1" l="1"/>
  <c r="T8" i="1"/>
  <c r="O12" i="1"/>
  <c r="P11" i="1"/>
  <c r="X11" i="1" l="1"/>
  <c r="T9" i="1"/>
  <c r="O13" i="1"/>
  <c r="P13" i="1" s="1"/>
  <c r="P12" i="1"/>
  <c r="X12" i="1" l="1"/>
  <c r="T10" i="1"/>
  <c r="P14" i="1"/>
  <c r="AD3" i="1" s="1"/>
  <c r="X13" i="1" l="1"/>
  <c r="X14" i="1" s="1"/>
  <c r="AJ3" i="1" s="1"/>
  <c r="T11" i="1"/>
  <c r="T13" i="1" l="1"/>
  <c r="T12" i="1"/>
  <c r="T14" i="1" l="1"/>
  <c r="AG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01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  <bk>
      <extLst>
        <ext uri="{3e2802c4-a4d2-4d8b-9148-e3be6c30e623}">
          <xlrd:rvb i="884"/>
        </ext>
      </extLst>
    </bk>
    <bk>
      <extLst>
        <ext uri="{3e2802c4-a4d2-4d8b-9148-e3be6c30e623}">
          <xlrd:rvb i="885"/>
        </ext>
      </extLst>
    </bk>
    <bk>
      <extLst>
        <ext uri="{3e2802c4-a4d2-4d8b-9148-e3be6c30e623}">
          <xlrd:rvb i="886"/>
        </ext>
      </extLst>
    </bk>
    <bk>
      <extLst>
        <ext uri="{3e2802c4-a4d2-4d8b-9148-e3be6c30e623}">
          <xlrd:rvb i="887"/>
        </ext>
      </extLst>
    </bk>
    <bk>
      <extLst>
        <ext uri="{3e2802c4-a4d2-4d8b-9148-e3be6c30e623}">
          <xlrd:rvb i="888"/>
        </ext>
      </extLst>
    </bk>
    <bk>
      <extLst>
        <ext uri="{3e2802c4-a4d2-4d8b-9148-e3be6c30e623}">
          <xlrd:rvb i="889"/>
        </ext>
      </extLst>
    </bk>
    <bk>
      <extLst>
        <ext uri="{3e2802c4-a4d2-4d8b-9148-e3be6c30e623}">
          <xlrd:rvb i="890"/>
        </ext>
      </extLst>
    </bk>
    <bk>
      <extLst>
        <ext uri="{3e2802c4-a4d2-4d8b-9148-e3be6c30e623}">
          <xlrd:rvb i="891"/>
        </ext>
      </extLst>
    </bk>
    <bk>
      <extLst>
        <ext uri="{3e2802c4-a4d2-4d8b-9148-e3be6c30e623}">
          <xlrd:rvb i="892"/>
        </ext>
      </extLst>
    </bk>
    <bk>
      <extLst>
        <ext uri="{3e2802c4-a4d2-4d8b-9148-e3be6c30e623}">
          <xlrd:rvb i="893"/>
        </ext>
      </extLst>
    </bk>
    <bk>
      <extLst>
        <ext uri="{3e2802c4-a4d2-4d8b-9148-e3be6c30e623}">
          <xlrd:rvb i="894"/>
        </ext>
      </extLst>
    </bk>
    <bk>
      <extLst>
        <ext uri="{3e2802c4-a4d2-4d8b-9148-e3be6c30e623}">
          <xlrd:rvb i="895"/>
        </ext>
      </extLst>
    </bk>
    <bk>
      <extLst>
        <ext uri="{3e2802c4-a4d2-4d8b-9148-e3be6c30e623}">
          <xlrd:rvb i="896"/>
        </ext>
      </extLst>
    </bk>
    <bk>
      <extLst>
        <ext uri="{3e2802c4-a4d2-4d8b-9148-e3be6c30e623}">
          <xlrd:rvb i="897"/>
        </ext>
      </extLst>
    </bk>
    <bk>
      <extLst>
        <ext uri="{3e2802c4-a4d2-4d8b-9148-e3be6c30e623}">
          <xlrd:rvb i="898"/>
        </ext>
      </extLst>
    </bk>
    <bk>
      <extLst>
        <ext uri="{3e2802c4-a4d2-4d8b-9148-e3be6c30e623}">
          <xlrd:rvb i="899"/>
        </ext>
      </extLst>
    </bk>
    <bk>
      <extLst>
        <ext uri="{3e2802c4-a4d2-4d8b-9148-e3be6c30e623}">
          <xlrd:rvb i="900"/>
        </ext>
      </extLst>
    </bk>
    <bk>
      <extLst>
        <ext uri="{3e2802c4-a4d2-4d8b-9148-e3be6c30e623}">
          <xlrd:rvb i="901"/>
        </ext>
      </extLst>
    </bk>
    <bk>
      <extLst>
        <ext uri="{3e2802c4-a4d2-4d8b-9148-e3be6c30e623}">
          <xlrd:rvb i="902"/>
        </ext>
      </extLst>
    </bk>
    <bk>
      <extLst>
        <ext uri="{3e2802c4-a4d2-4d8b-9148-e3be6c30e623}">
          <xlrd:rvb i="903"/>
        </ext>
      </extLst>
    </bk>
    <bk>
      <extLst>
        <ext uri="{3e2802c4-a4d2-4d8b-9148-e3be6c30e623}">
          <xlrd:rvb i="904"/>
        </ext>
      </extLst>
    </bk>
    <bk>
      <extLst>
        <ext uri="{3e2802c4-a4d2-4d8b-9148-e3be6c30e623}">
          <xlrd:rvb i="905"/>
        </ext>
      </extLst>
    </bk>
    <bk>
      <extLst>
        <ext uri="{3e2802c4-a4d2-4d8b-9148-e3be6c30e623}">
          <xlrd:rvb i="906"/>
        </ext>
      </extLst>
    </bk>
    <bk>
      <extLst>
        <ext uri="{3e2802c4-a4d2-4d8b-9148-e3be6c30e623}">
          <xlrd:rvb i="907"/>
        </ext>
      </extLst>
    </bk>
    <bk>
      <extLst>
        <ext uri="{3e2802c4-a4d2-4d8b-9148-e3be6c30e623}">
          <xlrd:rvb i="908"/>
        </ext>
      </extLst>
    </bk>
    <bk>
      <extLst>
        <ext uri="{3e2802c4-a4d2-4d8b-9148-e3be6c30e623}">
          <xlrd:rvb i="909"/>
        </ext>
      </extLst>
    </bk>
    <bk>
      <extLst>
        <ext uri="{3e2802c4-a4d2-4d8b-9148-e3be6c30e623}">
          <xlrd:rvb i="910"/>
        </ext>
      </extLst>
    </bk>
    <bk>
      <extLst>
        <ext uri="{3e2802c4-a4d2-4d8b-9148-e3be6c30e623}">
          <xlrd:rvb i="911"/>
        </ext>
      </extLst>
    </bk>
    <bk>
      <extLst>
        <ext uri="{3e2802c4-a4d2-4d8b-9148-e3be6c30e623}">
          <xlrd:rvb i="912"/>
        </ext>
      </extLst>
    </bk>
    <bk>
      <extLst>
        <ext uri="{3e2802c4-a4d2-4d8b-9148-e3be6c30e623}">
          <xlrd:rvb i="913"/>
        </ext>
      </extLst>
    </bk>
    <bk>
      <extLst>
        <ext uri="{3e2802c4-a4d2-4d8b-9148-e3be6c30e623}">
          <xlrd:rvb i="914"/>
        </ext>
      </extLst>
    </bk>
    <bk>
      <extLst>
        <ext uri="{3e2802c4-a4d2-4d8b-9148-e3be6c30e623}">
          <xlrd:rvb i="915"/>
        </ext>
      </extLst>
    </bk>
    <bk>
      <extLst>
        <ext uri="{3e2802c4-a4d2-4d8b-9148-e3be6c30e623}">
          <xlrd:rvb i="916"/>
        </ext>
      </extLst>
    </bk>
    <bk>
      <extLst>
        <ext uri="{3e2802c4-a4d2-4d8b-9148-e3be6c30e623}">
          <xlrd:rvb i="917"/>
        </ext>
      </extLst>
    </bk>
    <bk>
      <extLst>
        <ext uri="{3e2802c4-a4d2-4d8b-9148-e3be6c30e623}">
          <xlrd:rvb i="918"/>
        </ext>
      </extLst>
    </bk>
    <bk>
      <extLst>
        <ext uri="{3e2802c4-a4d2-4d8b-9148-e3be6c30e623}">
          <xlrd:rvb i="919"/>
        </ext>
      </extLst>
    </bk>
    <bk>
      <extLst>
        <ext uri="{3e2802c4-a4d2-4d8b-9148-e3be6c30e623}">
          <xlrd:rvb i="920"/>
        </ext>
      </extLst>
    </bk>
    <bk>
      <extLst>
        <ext uri="{3e2802c4-a4d2-4d8b-9148-e3be6c30e623}">
          <xlrd:rvb i="921"/>
        </ext>
      </extLst>
    </bk>
    <bk>
      <extLst>
        <ext uri="{3e2802c4-a4d2-4d8b-9148-e3be6c30e623}">
          <xlrd:rvb i="922"/>
        </ext>
      </extLst>
    </bk>
    <bk>
      <extLst>
        <ext uri="{3e2802c4-a4d2-4d8b-9148-e3be6c30e623}">
          <xlrd:rvb i="923"/>
        </ext>
      </extLst>
    </bk>
    <bk>
      <extLst>
        <ext uri="{3e2802c4-a4d2-4d8b-9148-e3be6c30e623}">
          <xlrd:rvb i="924"/>
        </ext>
      </extLst>
    </bk>
    <bk>
      <extLst>
        <ext uri="{3e2802c4-a4d2-4d8b-9148-e3be6c30e623}">
          <xlrd:rvb i="925"/>
        </ext>
      </extLst>
    </bk>
    <bk>
      <extLst>
        <ext uri="{3e2802c4-a4d2-4d8b-9148-e3be6c30e623}">
          <xlrd:rvb i="926"/>
        </ext>
      </extLst>
    </bk>
    <bk>
      <extLst>
        <ext uri="{3e2802c4-a4d2-4d8b-9148-e3be6c30e623}">
          <xlrd:rvb i="927"/>
        </ext>
      </extLst>
    </bk>
    <bk>
      <extLst>
        <ext uri="{3e2802c4-a4d2-4d8b-9148-e3be6c30e623}">
          <xlrd:rvb i="928"/>
        </ext>
      </extLst>
    </bk>
    <bk>
      <extLst>
        <ext uri="{3e2802c4-a4d2-4d8b-9148-e3be6c30e623}">
          <xlrd:rvb i="929"/>
        </ext>
      </extLst>
    </bk>
    <bk>
      <extLst>
        <ext uri="{3e2802c4-a4d2-4d8b-9148-e3be6c30e623}">
          <xlrd:rvb i="930"/>
        </ext>
      </extLst>
    </bk>
    <bk>
      <extLst>
        <ext uri="{3e2802c4-a4d2-4d8b-9148-e3be6c30e623}">
          <xlrd:rvb i="931"/>
        </ext>
      </extLst>
    </bk>
    <bk>
      <extLst>
        <ext uri="{3e2802c4-a4d2-4d8b-9148-e3be6c30e623}">
          <xlrd:rvb i="932"/>
        </ext>
      </extLst>
    </bk>
    <bk>
      <extLst>
        <ext uri="{3e2802c4-a4d2-4d8b-9148-e3be6c30e623}">
          <xlrd:rvb i="933"/>
        </ext>
      </extLst>
    </bk>
    <bk>
      <extLst>
        <ext uri="{3e2802c4-a4d2-4d8b-9148-e3be6c30e623}">
          <xlrd:rvb i="934"/>
        </ext>
      </extLst>
    </bk>
    <bk>
      <extLst>
        <ext uri="{3e2802c4-a4d2-4d8b-9148-e3be6c30e623}">
          <xlrd:rvb i="935"/>
        </ext>
      </extLst>
    </bk>
    <bk>
      <extLst>
        <ext uri="{3e2802c4-a4d2-4d8b-9148-e3be6c30e623}">
          <xlrd:rvb i="936"/>
        </ext>
      </extLst>
    </bk>
    <bk>
      <extLst>
        <ext uri="{3e2802c4-a4d2-4d8b-9148-e3be6c30e623}">
          <xlrd:rvb i="937"/>
        </ext>
      </extLst>
    </bk>
    <bk>
      <extLst>
        <ext uri="{3e2802c4-a4d2-4d8b-9148-e3be6c30e623}">
          <xlrd:rvb i="938"/>
        </ext>
      </extLst>
    </bk>
    <bk>
      <extLst>
        <ext uri="{3e2802c4-a4d2-4d8b-9148-e3be6c30e623}">
          <xlrd:rvb i="939"/>
        </ext>
      </extLst>
    </bk>
    <bk>
      <extLst>
        <ext uri="{3e2802c4-a4d2-4d8b-9148-e3be6c30e623}">
          <xlrd:rvb i="940"/>
        </ext>
      </extLst>
    </bk>
    <bk>
      <extLst>
        <ext uri="{3e2802c4-a4d2-4d8b-9148-e3be6c30e623}">
          <xlrd:rvb i="941"/>
        </ext>
      </extLst>
    </bk>
    <bk>
      <extLst>
        <ext uri="{3e2802c4-a4d2-4d8b-9148-e3be6c30e623}">
          <xlrd:rvb i="942"/>
        </ext>
      </extLst>
    </bk>
    <bk>
      <extLst>
        <ext uri="{3e2802c4-a4d2-4d8b-9148-e3be6c30e623}">
          <xlrd:rvb i="943"/>
        </ext>
      </extLst>
    </bk>
    <bk>
      <extLst>
        <ext uri="{3e2802c4-a4d2-4d8b-9148-e3be6c30e623}">
          <xlrd:rvb i="944"/>
        </ext>
      </extLst>
    </bk>
    <bk>
      <extLst>
        <ext uri="{3e2802c4-a4d2-4d8b-9148-e3be6c30e623}">
          <xlrd:rvb i="945"/>
        </ext>
      </extLst>
    </bk>
    <bk>
      <extLst>
        <ext uri="{3e2802c4-a4d2-4d8b-9148-e3be6c30e623}">
          <xlrd:rvb i="946"/>
        </ext>
      </extLst>
    </bk>
    <bk>
      <extLst>
        <ext uri="{3e2802c4-a4d2-4d8b-9148-e3be6c30e623}">
          <xlrd:rvb i="947"/>
        </ext>
      </extLst>
    </bk>
    <bk>
      <extLst>
        <ext uri="{3e2802c4-a4d2-4d8b-9148-e3be6c30e623}">
          <xlrd:rvb i="948"/>
        </ext>
      </extLst>
    </bk>
    <bk>
      <extLst>
        <ext uri="{3e2802c4-a4d2-4d8b-9148-e3be6c30e623}">
          <xlrd:rvb i="949"/>
        </ext>
      </extLst>
    </bk>
    <bk>
      <extLst>
        <ext uri="{3e2802c4-a4d2-4d8b-9148-e3be6c30e623}">
          <xlrd:rvb i="950"/>
        </ext>
      </extLst>
    </bk>
    <bk>
      <extLst>
        <ext uri="{3e2802c4-a4d2-4d8b-9148-e3be6c30e623}">
          <xlrd:rvb i="951"/>
        </ext>
      </extLst>
    </bk>
    <bk>
      <extLst>
        <ext uri="{3e2802c4-a4d2-4d8b-9148-e3be6c30e623}">
          <xlrd:rvb i="952"/>
        </ext>
      </extLst>
    </bk>
    <bk>
      <extLst>
        <ext uri="{3e2802c4-a4d2-4d8b-9148-e3be6c30e623}">
          <xlrd:rvb i="953"/>
        </ext>
      </extLst>
    </bk>
    <bk>
      <extLst>
        <ext uri="{3e2802c4-a4d2-4d8b-9148-e3be6c30e623}">
          <xlrd:rvb i="954"/>
        </ext>
      </extLst>
    </bk>
    <bk>
      <extLst>
        <ext uri="{3e2802c4-a4d2-4d8b-9148-e3be6c30e623}">
          <xlrd:rvb i="955"/>
        </ext>
      </extLst>
    </bk>
    <bk>
      <extLst>
        <ext uri="{3e2802c4-a4d2-4d8b-9148-e3be6c30e623}">
          <xlrd:rvb i="956"/>
        </ext>
      </extLst>
    </bk>
    <bk>
      <extLst>
        <ext uri="{3e2802c4-a4d2-4d8b-9148-e3be6c30e623}">
          <xlrd:rvb i="957"/>
        </ext>
      </extLst>
    </bk>
    <bk>
      <extLst>
        <ext uri="{3e2802c4-a4d2-4d8b-9148-e3be6c30e623}">
          <xlrd:rvb i="958"/>
        </ext>
      </extLst>
    </bk>
    <bk>
      <extLst>
        <ext uri="{3e2802c4-a4d2-4d8b-9148-e3be6c30e623}">
          <xlrd:rvb i="959"/>
        </ext>
      </extLst>
    </bk>
    <bk>
      <extLst>
        <ext uri="{3e2802c4-a4d2-4d8b-9148-e3be6c30e623}">
          <xlrd:rvb i="960"/>
        </ext>
      </extLst>
    </bk>
    <bk>
      <extLst>
        <ext uri="{3e2802c4-a4d2-4d8b-9148-e3be6c30e623}">
          <xlrd:rvb i="961"/>
        </ext>
      </extLst>
    </bk>
    <bk>
      <extLst>
        <ext uri="{3e2802c4-a4d2-4d8b-9148-e3be6c30e623}">
          <xlrd:rvb i="962"/>
        </ext>
      </extLst>
    </bk>
    <bk>
      <extLst>
        <ext uri="{3e2802c4-a4d2-4d8b-9148-e3be6c30e623}">
          <xlrd:rvb i="963"/>
        </ext>
      </extLst>
    </bk>
    <bk>
      <extLst>
        <ext uri="{3e2802c4-a4d2-4d8b-9148-e3be6c30e623}">
          <xlrd:rvb i="964"/>
        </ext>
      </extLst>
    </bk>
    <bk>
      <extLst>
        <ext uri="{3e2802c4-a4d2-4d8b-9148-e3be6c30e623}">
          <xlrd:rvb i="965"/>
        </ext>
      </extLst>
    </bk>
    <bk>
      <extLst>
        <ext uri="{3e2802c4-a4d2-4d8b-9148-e3be6c30e623}">
          <xlrd:rvb i="966"/>
        </ext>
      </extLst>
    </bk>
    <bk>
      <extLst>
        <ext uri="{3e2802c4-a4d2-4d8b-9148-e3be6c30e623}">
          <xlrd:rvb i="967"/>
        </ext>
      </extLst>
    </bk>
    <bk>
      <extLst>
        <ext uri="{3e2802c4-a4d2-4d8b-9148-e3be6c30e623}">
          <xlrd:rvb i="968"/>
        </ext>
      </extLst>
    </bk>
    <bk>
      <extLst>
        <ext uri="{3e2802c4-a4d2-4d8b-9148-e3be6c30e623}">
          <xlrd:rvb i="969"/>
        </ext>
      </extLst>
    </bk>
    <bk>
      <extLst>
        <ext uri="{3e2802c4-a4d2-4d8b-9148-e3be6c30e623}">
          <xlrd:rvb i="970"/>
        </ext>
      </extLst>
    </bk>
    <bk>
      <extLst>
        <ext uri="{3e2802c4-a4d2-4d8b-9148-e3be6c30e623}">
          <xlrd:rvb i="971"/>
        </ext>
      </extLst>
    </bk>
    <bk>
      <extLst>
        <ext uri="{3e2802c4-a4d2-4d8b-9148-e3be6c30e623}">
          <xlrd:rvb i="972"/>
        </ext>
      </extLst>
    </bk>
    <bk>
      <extLst>
        <ext uri="{3e2802c4-a4d2-4d8b-9148-e3be6c30e623}">
          <xlrd:rvb i="973"/>
        </ext>
      </extLst>
    </bk>
    <bk>
      <extLst>
        <ext uri="{3e2802c4-a4d2-4d8b-9148-e3be6c30e623}">
          <xlrd:rvb i="974"/>
        </ext>
      </extLst>
    </bk>
    <bk>
      <extLst>
        <ext uri="{3e2802c4-a4d2-4d8b-9148-e3be6c30e623}">
          <xlrd:rvb i="975"/>
        </ext>
      </extLst>
    </bk>
    <bk>
      <extLst>
        <ext uri="{3e2802c4-a4d2-4d8b-9148-e3be6c30e623}">
          <xlrd:rvb i="976"/>
        </ext>
      </extLst>
    </bk>
    <bk>
      <extLst>
        <ext uri="{3e2802c4-a4d2-4d8b-9148-e3be6c30e623}">
          <xlrd:rvb i="977"/>
        </ext>
      </extLst>
    </bk>
    <bk>
      <extLst>
        <ext uri="{3e2802c4-a4d2-4d8b-9148-e3be6c30e623}">
          <xlrd:rvb i="978"/>
        </ext>
      </extLst>
    </bk>
    <bk>
      <extLst>
        <ext uri="{3e2802c4-a4d2-4d8b-9148-e3be6c30e623}">
          <xlrd:rvb i="979"/>
        </ext>
      </extLst>
    </bk>
    <bk>
      <extLst>
        <ext uri="{3e2802c4-a4d2-4d8b-9148-e3be6c30e623}">
          <xlrd:rvb i="980"/>
        </ext>
      </extLst>
    </bk>
    <bk>
      <extLst>
        <ext uri="{3e2802c4-a4d2-4d8b-9148-e3be6c30e623}">
          <xlrd:rvb i="981"/>
        </ext>
      </extLst>
    </bk>
    <bk>
      <extLst>
        <ext uri="{3e2802c4-a4d2-4d8b-9148-e3be6c30e623}">
          <xlrd:rvb i="982"/>
        </ext>
      </extLst>
    </bk>
    <bk>
      <extLst>
        <ext uri="{3e2802c4-a4d2-4d8b-9148-e3be6c30e623}">
          <xlrd:rvb i="983"/>
        </ext>
      </extLst>
    </bk>
    <bk>
      <extLst>
        <ext uri="{3e2802c4-a4d2-4d8b-9148-e3be6c30e623}">
          <xlrd:rvb i="984"/>
        </ext>
      </extLst>
    </bk>
    <bk>
      <extLst>
        <ext uri="{3e2802c4-a4d2-4d8b-9148-e3be6c30e623}">
          <xlrd:rvb i="985"/>
        </ext>
      </extLst>
    </bk>
    <bk>
      <extLst>
        <ext uri="{3e2802c4-a4d2-4d8b-9148-e3be6c30e623}">
          <xlrd:rvb i="986"/>
        </ext>
      </extLst>
    </bk>
    <bk>
      <extLst>
        <ext uri="{3e2802c4-a4d2-4d8b-9148-e3be6c30e623}">
          <xlrd:rvb i="987"/>
        </ext>
      </extLst>
    </bk>
    <bk>
      <extLst>
        <ext uri="{3e2802c4-a4d2-4d8b-9148-e3be6c30e623}">
          <xlrd:rvb i="988"/>
        </ext>
      </extLst>
    </bk>
    <bk>
      <extLst>
        <ext uri="{3e2802c4-a4d2-4d8b-9148-e3be6c30e623}">
          <xlrd:rvb i="989"/>
        </ext>
      </extLst>
    </bk>
    <bk>
      <extLst>
        <ext uri="{3e2802c4-a4d2-4d8b-9148-e3be6c30e623}">
          <xlrd:rvb i="990"/>
        </ext>
      </extLst>
    </bk>
    <bk>
      <extLst>
        <ext uri="{3e2802c4-a4d2-4d8b-9148-e3be6c30e623}">
          <xlrd:rvb i="991"/>
        </ext>
      </extLst>
    </bk>
    <bk>
      <extLst>
        <ext uri="{3e2802c4-a4d2-4d8b-9148-e3be6c30e623}">
          <xlrd:rvb i="992"/>
        </ext>
      </extLst>
    </bk>
    <bk>
      <extLst>
        <ext uri="{3e2802c4-a4d2-4d8b-9148-e3be6c30e623}">
          <xlrd:rvb i="993"/>
        </ext>
      </extLst>
    </bk>
    <bk>
      <extLst>
        <ext uri="{3e2802c4-a4d2-4d8b-9148-e3be6c30e623}">
          <xlrd:rvb i="994"/>
        </ext>
      </extLst>
    </bk>
    <bk>
      <extLst>
        <ext uri="{3e2802c4-a4d2-4d8b-9148-e3be6c30e623}">
          <xlrd:rvb i="995"/>
        </ext>
      </extLst>
    </bk>
    <bk>
      <extLst>
        <ext uri="{3e2802c4-a4d2-4d8b-9148-e3be6c30e623}">
          <xlrd:rvb i="996"/>
        </ext>
      </extLst>
    </bk>
    <bk>
      <extLst>
        <ext uri="{3e2802c4-a4d2-4d8b-9148-e3be6c30e623}">
          <xlrd:rvb i="997"/>
        </ext>
      </extLst>
    </bk>
    <bk>
      <extLst>
        <ext uri="{3e2802c4-a4d2-4d8b-9148-e3be6c30e623}">
          <xlrd:rvb i="998"/>
        </ext>
      </extLst>
    </bk>
    <bk>
      <extLst>
        <ext uri="{3e2802c4-a4d2-4d8b-9148-e3be6c30e623}">
          <xlrd:rvb i="999"/>
        </ext>
      </extLst>
    </bk>
    <bk>
      <extLst>
        <ext uri="{3e2802c4-a4d2-4d8b-9148-e3be6c30e623}">
          <xlrd:rvb i="1000"/>
        </ext>
      </extLst>
    </bk>
    <bk>
      <extLst>
        <ext uri="{3e2802c4-a4d2-4d8b-9148-e3be6c30e623}">
          <xlrd:rvb i="1001"/>
        </ext>
      </extLst>
    </bk>
    <bk>
      <extLst>
        <ext uri="{3e2802c4-a4d2-4d8b-9148-e3be6c30e623}">
          <xlrd:rvb i="1002"/>
        </ext>
      </extLst>
    </bk>
    <bk>
      <extLst>
        <ext uri="{3e2802c4-a4d2-4d8b-9148-e3be6c30e623}">
          <xlrd:rvb i="1003"/>
        </ext>
      </extLst>
    </bk>
    <bk>
      <extLst>
        <ext uri="{3e2802c4-a4d2-4d8b-9148-e3be6c30e623}">
          <xlrd:rvb i="1004"/>
        </ext>
      </extLst>
    </bk>
    <bk>
      <extLst>
        <ext uri="{3e2802c4-a4d2-4d8b-9148-e3be6c30e623}">
          <xlrd:rvb i="1005"/>
        </ext>
      </extLst>
    </bk>
    <bk>
      <extLst>
        <ext uri="{3e2802c4-a4d2-4d8b-9148-e3be6c30e623}">
          <xlrd:rvb i="1006"/>
        </ext>
      </extLst>
    </bk>
    <bk>
      <extLst>
        <ext uri="{3e2802c4-a4d2-4d8b-9148-e3be6c30e623}">
          <xlrd:rvb i="1007"/>
        </ext>
      </extLst>
    </bk>
    <bk>
      <extLst>
        <ext uri="{3e2802c4-a4d2-4d8b-9148-e3be6c30e623}">
          <xlrd:rvb i="1008"/>
        </ext>
      </extLst>
    </bk>
    <bk>
      <extLst>
        <ext uri="{3e2802c4-a4d2-4d8b-9148-e3be6c30e623}">
          <xlrd:rvb i="1009"/>
        </ext>
      </extLst>
    </bk>
    <bk>
      <extLst>
        <ext uri="{3e2802c4-a4d2-4d8b-9148-e3be6c30e623}">
          <xlrd:rvb i="1010"/>
        </ext>
      </extLst>
    </bk>
    <bk>
      <extLst>
        <ext uri="{3e2802c4-a4d2-4d8b-9148-e3be6c30e623}">
          <xlrd:rvb i="1011"/>
        </ext>
      </extLst>
    </bk>
  </futureMetadata>
  <cellMetadata count="1">
    <bk>
      <rc t="1" v="0"/>
    </bk>
  </cellMetadata>
  <valueMetadata count="1012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  <bk>
      <rc t="2" v="492"/>
    </bk>
    <bk>
      <rc t="2" v="493"/>
    </bk>
    <bk>
      <rc t="2" v="494"/>
    </bk>
    <bk>
      <rc t="2" v="495"/>
    </bk>
    <bk>
      <rc t="2" v="496"/>
    </bk>
    <bk>
      <rc t="2" v="497"/>
    </bk>
    <bk>
      <rc t="2" v="498"/>
    </bk>
    <bk>
      <rc t="2" v="499"/>
    </bk>
    <bk>
      <rc t="2" v="500"/>
    </bk>
    <bk>
      <rc t="2" v="501"/>
    </bk>
    <bk>
      <rc t="2" v="502"/>
    </bk>
    <bk>
      <rc t="2" v="503"/>
    </bk>
    <bk>
      <rc t="2" v="504"/>
    </bk>
    <bk>
      <rc t="2" v="505"/>
    </bk>
    <bk>
      <rc t="2" v="506"/>
    </bk>
    <bk>
      <rc t="2" v="507"/>
    </bk>
    <bk>
      <rc t="2" v="508"/>
    </bk>
    <bk>
      <rc t="2" v="509"/>
    </bk>
    <bk>
      <rc t="2" v="510"/>
    </bk>
    <bk>
      <rc t="2" v="511"/>
    </bk>
    <bk>
      <rc t="2" v="512"/>
    </bk>
    <bk>
      <rc t="2" v="513"/>
    </bk>
    <bk>
      <rc t="2" v="514"/>
    </bk>
    <bk>
      <rc t="2" v="515"/>
    </bk>
    <bk>
      <rc t="2" v="516"/>
    </bk>
    <bk>
      <rc t="2" v="517"/>
    </bk>
    <bk>
      <rc t="2" v="518"/>
    </bk>
    <bk>
      <rc t="2" v="519"/>
    </bk>
    <bk>
      <rc t="2" v="520"/>
    </bk>
    <bk>
      <rc t="2" v="521"/>
    </bk>
    <bk>
      <rc t="2" v="522"/>
    </bk>
    <bk>
      <rc t="2" v="523"/>
    </bk>
    <bk>
      <rc t="2" v="524"/>
    </bk>
    <bk>
      <rc t="2" v="525"/>
    </bk>
    <bk>
      <rc t="2" v="526"/>
    </bk>
    <bk>
      <rc t="2" v="527"/>
    </bk>
    <bk>
      <rc t="2" v="528"/>
    </bk>
    <bk>
      <rc t="2" v="529"/>
    </bk>
    <bk>
      <rc t="2" v="530"/>
    </bk>
    <bk>
      <rc t="2" v="531"/>
    </bk>
    <bk>
      <rc t="2" v="532"/>
    </bk>
    <bk>
      <rc t="2" v="533"/>
    </bk>
    <bk>
      <rc t="2" v="534"/>
    </bk>
    <bk>
      <rc t="2" v="535"/>
    </bk>
    <bk>
      <rc t="2" v="536"/>
    </bk>
    <bk>
      <rc t="2" v="537"/>
    </bk>
    <bk>
      <rc t="2" v="538"/>
    </bk>
    <bk>
      <rc t="2" v="539"/>
    </bk>
    <bk>
      <rc t="2" v="540"/>
    </bk>
    <bk>
      <rc t="2" v="541"/>
    </bk>
    <bk>
      <rc t="2" v="542"/>
    </bk>
    <bk>
      <rc t="2" v="543"/>
    </bk>
    <bk>
      <rc t="2" v="544"/>
    </bk>
    <bk>
      <rc t="2" v="545"/>
    </bk>
    <bk>
      <rc t="2" v="546"/>
    </bk>
    <bk>
      <rc t="2" v="547"/>
    </bk>
    <bk>
      <rc t="2" v="548"/>
    </bk>
    <bk>
      <rc t="2" v="549"/>
    </bk>
    <bk>
      <rc t="2" v="550"/>
    </bk>
    <bk>
      <rc t="2" v="551"/>
    </bk>
    <bk>
      <rc t="2" v="552"/>
    </bk>
    <bk>
      <rc t="2" v="553"/>
    </bk>
    <bk>
      <rc t="2" v="554"/>
    </bk>
    <bk>
      <rc t="2" v="555"/>
    </bk>
    <bk>
      <rc t="2" v="556"/>
    </bk>
    <bk>
      <rc t="2" v="557"/>
    </bk>
    <bk>
      <rc t="2" v="558"/>
    </bk>
    <bk>
      <rc t="2" v="559"/>
    </bk>
    <bk>
      <rc t="2" v="560"/>
    </bk>
    <bk>
      <rc t="2" v="561"/>
    </bk>
    <bk>
      <rc t="2" v="562"/>
    </bk>
    <bk>
      <rc t="2" v="563"/>
    </bk>
    <bk>
      <rc t="2" v="564"/>
    </bk>
    <bk>
      <rc t="2" v="565"/>
    </bk>
    <bk>
      <rc t="2" v="566"/>
    </bk>
    <bk>
      <rc t="2" v="567"/>
    </bk>
    <bk>
      <rc t="2" v="568"/>
    </bk>
    <bk>
      <rc t="2" v="569"/>
    </bk>
    <bk>
      <rc t="2" v="570"/>
    </bk>
    <bk>
      <rc t="2" v="571"/>
    </bk>
    <bk>
      <rc t="2" v="572"/>
    </bk>
    <bk>
      <rc t="2" v="573"/>
    </bk>
    <bk>
      <rc t="2" v="574"/>
    </bk>
    <bk>
      <rc t="2" v="575"/>
    </bk>
    <bk>
      <rc t="2" v="576"/>
    </bk>
    <bk>
      <rc t="2" v="577"/>
    </bk>
    <bk>
      <rc t="2" v="578"/>
    </bk>
    <bk>
      <rc t="2" v="579"/>
    </bk>
    <bk>
      <rc t="2" v="580"/>
    </bk>
    <bk>
      <rc t="2" v="581"/>
    </bk>
    <bk>
      <rc t="2" v="582"/>
    </bk>
    <bk>
      <rc t="2" v="583"/>
    </bk>
    <bk>
      <rc t="2" v="584"/>
    </bk>
    <bk>
      <rc t="2" v="585"/>
    </bk>
    <bk>
      <rc t="2" v="586"/>
    </bk>
    <bk>
      <rc t="2" v="587"/>
    </bk>
    <bk>
      <rc t="2" v="588"/>
    </bk>
    <bk>
      <rc t="2" v="589"/>
    </bk>
    <bk>
      <rc t="2" v="590"/>
    </bk>
    <bk>
      <rc t="2" v="591"/>
    </bk>
    <bk>
      <rc t="2" v="592"/>
    </bk>
    <bk>
      <rc t="2" v="593"/>
    </bk>
    <bk>
      <rc t="2" v="594"/>
    </bk>
    <bk>
      <rc t="2" v="595"/>
    </bk>
    <bk>
      <rc t="2" v="596"/>
    </bk>
    <bk>
      <rc t="2" v="597"/>
    </bk>
    <bk>
      <rc t="2" v="598"/>
    </bk>
    <bk>
      <rc t="2" v="599"/>
    </bk>
    <bk>
      <rc t="2" v="600"/>
    </bk>
    <bk>
      <rc t="2" v="601"/>
    </bk>
    <bk>
      <rc t="2" v="602"/>
    </bk>
    <bk>
      <rc t="2" v="603"/>
    </bk>
    <bk>
      <rc t="2" v="604"/>
    </bk>
    <bk>
      <rc t="2" v="605"/>
    </bk>
    <bk>
      <rc t="2" v="606"/>
    </bk>
    <bk>
      <rc t="2" v="607"/>
    </bk>
    <bk>
      <rc t="2" v="608"/>
    </bk>
    <bk>
      <rc t="2" v="609"/>
    </bk>
    <bk>
      <rc t="2" v="610"/>
    </bk>
    <bk>
      <rc t="2" v="611"/>
    </bk>
    <bk>
      <rc t="2" v="612"/>
    </bk>
    <bk>
      <rc t="2" v="613"/>
    </bk>
    <bk>
      <rc t="2" v="614"/>
    </bk>
    <bk>
      <rc t="2" v="615"/>
    </bk>
    <bk>
      <rc t="2" v="616"/>
    </bk>
    <bk>
      <rc t="2" v="617"/>
    </bk>
    <bk>
      <rc t="2" v="618"/>
    </bk>
    <bk>
      <rc t="2" v="619"/>
    </bk>
    <bk>
      <rc t="2" v="620"/>
    </bk>
    <bk>
      <rc t="2" v="621"/>
    </bk>
    <bk>
      <rc t="2" v="622"/>
    </bk>
    <bk>
      <rc t="2" v="623"/>
    </bk>
    <bk>
      <rc t="2" v="624"/>
    </bk>
    <bk>
      <rc t="2" v="625"/>
    </bk>
    <bk>
      <rc t="2" v="626"/>
    </bk>
    <bk>
      <rc t="2" v="627"/>
    </bk>
    <bk>
      <rc t="2" v="628"/>
    </bk>
    <bk>
      <rc t="2" v="629"/>
    </bk>
    <bk>
      <rc t="2" v="630"/>
    </bk>
    <bk>
      <rc t="2" v="631"/>
    </bk>
    <bk>
      <rc t="2" v="632"/>
    </bk>
    <bk>
      <rc t="2" v="633"/>
    </bk>
    <bk>
      <rc t="2" v="634"/>
    </bk>
    <bk>
      <rc t="2" v="635"/>
    </bk>
    <bk>
      <rc t="2" v="636"/>
    </bk>
    <bk>
      <rc t="2" v="637"/>
    </bk>
    <bk>
      <rc t="2" v="638"/>
    </bk>
    <bk>
      <rc t="2" v="639"/>
    </bk>
    <bk>
      <rc t="2" v="640"/>
    </bk>
    <bk>
      <rc t="2" v="641"/>
    </bk>
    <bk>
      <rc t="2" v="642"/>
    </bk>
    <bk>
      <rc t="2" v="643"/>
    </bk>
    <bk>
      <rc t="2" v="644"/>
    </bk>
    <bk>
      <rc t="2" v="645"/>
    </bk>
    <bk>
      <rc t="2" v="646"/>
    </bk>
    <bk>
      <rc t="2" v="647"/>
    </bk>
    <bk>
      <rc t="2" v="648"/>
    </bk>
    <bk>
      <rc t="2" v="649"/>
    </bk>
    <bk>
      <rc t="2" v="650"/>
    </bk>
    <bk>
      <rc t="2" v="651"/>
    </bk>
    <bk>
      <rc t="2" v="652"/>
    </bk>
    <bk>
      <rc t="2" v="653"/>
    </bk>
    <bk>
      <rc t="2" v="654"/>
    </bk>
    <bk>
      <rc t="2" v="655"/>
    </bk>
    <bk>
      <rc t="2" v="656"/>
    </bk>
    <bk>
      <rc t="2" v="657"/>
    </bk>
    <bk>
      <rc t="2" v="658"/>
    </bk>
    <bk>
      <rc t="2" v="659"/>
    </bk>
    <bk>
      <rc t="2" v="660"/>
    </bk>
    <bk>
      <rc t="2" v="661"/>
    </bk>
    <bk>
      <rc t="2" v="662"/>
    </bk>
    <bk>
      <rc t="2" v="663"/>
    </bk>
    <bk>
      <rc t="2" v="664"/>
    </bk>
    <bk>
      <rc t="2" v="665"/>
    </bk>
    <bk>
      <rc t="2" v="666"/>
    </bk>
    <bk>
      <rc t="2" v="667"/>
    </bk>
    <bk>
      <rc t="2" v="668"/>
    </bk>
    <bk>
      <rc t="2" v="669"/>
    </bk>
    <bk>
      <rc t="2" v="670"/>
    </bk>
    <bk>
      <rc t="2" v="671"/>
    </bk>
    <bk>
      <rc t="2" v="672"/>
    </bk>
    <bk>
      <rc t="2" v="673"/>
    </bk>
    <bk>
      <rc t="2" v="674"/>
    </bk>
    <bk>
      <rc t="2" v="675"/>
    </bk>
    <bk>
      <rc t="2" v="676"/>
    </bk>
    <bk>
      <rc t="2" v="677"/>
    </bk>
    <bk>
      <rc t="2" v="678"/>
    </bk>
    <bk>
      <rc t="2" v="679"/>
    </bk>
    <bk>
      <rc t="2" v="680"/>
    </bk>
    <bk>
      <rc t="2" v="681"/>
    </bk>
    <bk>
      <rc t="2" v="682"/>
    </bk>
    <bk>
      <rc t="2" v="683"/>
    </bk>
    <bk>
      <rc t="2" v="684"/>
    </bk>
    <bk>
      <rc t="2" v="685"/>
    </bk>
    <bk>
      <rc t="2" v="686"/>
    </bk>
    <bk>
      <rc t="2" v="687"/>
    </bk>
    <bk>
      <rc t="2" v="688"/>
    </bk>
    <bk>
      <rc t="2" v="689"/>
    </bk>
    <bk>
      <rc t="2" v="690"/>
    </bk>
    <bk>
      <rc t="2" v="691"/>
    </bk>
    <bk>
      <rc t="2" v="692"/>
    </bk>
    <bk>
      <rc t="2" v="693"/>
    </bk>
    <bk>
      <rc t="2" v="694"/>
    </bk>
    <bk>
      <rc t="2" v="695"/>
    </bk>
    <bk>
      <rc t="2" v="696"/>
    </bk>
    <bk>
      <rc t="2" v="697"/>
    </bk>
    <bk>
      <rc t="2" v="698"/>
    </bk>
    <bk>
      <rc t="2" v="699"/>
    </bk>
    <bk>
      <rc t="2" v="700"/>
    </bk>
    <bk>
      <rc t="2" v="701"/>
    </bk>
    <bk>
      <rc t="2" v="702"/>
    </bk>
    <bk>
      <rc t="2" v="703"/>
    </bk>
    <bk>
      <rc t="2" v="704"/>
    </bk>
    <bk>
      <rc t="2" v="705"/>
    </bk>
    <bk>
      <rc t="2" v="706"/>
    </bk>
    <bk>
      <rc t="2" v="707"/>
    </bk>
    <bk>
      <rc t="2" v="708"/>
    </bk>
    <bk>
      <rc t="2" v="709"/>
    </bk>
    <bk>
      <rc t="2" v="710"/>
    </bk>
    <bk>
      <rc t="2" v="711"/>
    </bk>
    <bk>
      <rc t="2" v="712"/>
    </bk>
    <bk>
      <rc t="2" v="713"/>
    </bk>
    <bk>
      <rc t="2" v="714"/>
    </bk>
    <bk>
      <rc t="2" v="715"/>
    </bk>
    <bk>
      <rc t="2" v="716"/>
    </bk>
    <bk>
      <rc t="2" v="717"/>
    </bk>
    <bk>
      <rc t="2" v="718"/>
    </bk>
    <bk>
      <rc t="2" v="719"/>
    </bk>
    <bk>
      <rc t="2" v="720"/>
    </bk>
    <bk>
      <rc t="2" v="721"/>
    </bk>
    <bk>
      <rc t="2" v="722"/>
    </bk>
    <bk>
      <rc t="2" v="723"/>
    </bk>
    <bk>
      <rc t="2" v="724"/>
    </bk>
    <bk>
      <rc t="2" v="725"/>
    </bk>
    <bk>
      <rc t="2" v="726"/>
    </bk>
    <bk>
      <rc t="2" v="727"/>
    </bk>
    <bk>
      <rc t="2" v="728"/>
    </bk>
    <bk>
      <rc t="2" v="729"/>
    </bk>
    <bk>
      <rc t="2" v="730"/>
    </bk>
    <bk>
      <rc t="2" v="731"/>
    </bk>
    <bk>
      <rc t="2" v="732"/>
    </bk>
    <bk>
      <rc t="2" v="733"/>
    </bk>
    <bk>
      <rc t="2" v="734"/>
    </bk>
    <bk>
      <rc t="2" v="735"/>
    </bk>
    <bk>
      <rc t="2" v="736"/>
    </bk>
    <bk>
      <rc t="2" v="737"/>
    </bk>
    <bk>
      <rc t="2" v="738"/>
    </bk>
    <bk>
      <rc t="2" v="739"/>
    </bk>
    <bk>
      <rc t="2" v="740"/>
    </bk>
    <bk>
      <rc t="2" v="741"/>
    </bk>
    <bk>
      <rc t="2" v="742"/>
    </bk>
    <bk>
      <rc t="2" v="743"/>
    </bk>
    <bk>
      <rc t="2" v="744"/>
    </bk>
    <bk>
      <rc t="2" v="745"/>
    </bk>
    <bk>
      <rc t="2" v="746"/>
    </bk>
    <bk>
      <rc t="2" v="747"/>
    </bk>
    <bk>
      <rc t="2" v="748"/>
    </bk>
    <bk>
      <rc t="2" v="749"/>
    </bk>
    <bk>
      <rc t="2" v="750"/>
    </bk>
    <bk>
      <rc t="2" v="751"/>
    </bk>
    <bk>
      <rc t="2" v="752"/>
    </bk>
    <bk>
      <rc t="2" v="753"/>
    </bk>
    <bk>
      <rc t="2" v="754"/>
    </bk>
    <bk>
      <rc t="2" v="755"/>
    </bk>
    <bk>
      <rc t="2" v="756"/>
    </bk>
    <bk>
      <rc t="2" v="757"/>
    </bk>
    <bk>
      <rc t="2" v="758"/>
    </bk>
    <bk>
      <rc t="2" v="759"/>
    </bk>
    <bk>
      <rc t="2" v="760"/>
    </bk>
    <bk>
      <rc t="2" v="761"/>
    </bk>
    <bk>
      <rc t="2" v="762"/>
    </bk>
    <bk>
      <rc t="2" v="763"/>
    </bk>
    <bk>
      <rc t="2" v="764"/>
    </bk>
    <bk>
      <rc t="2" v="765"/>
    </bk>
    <bk>
      <rc t="2" v="766"/>
    </bk>
    <bk>
      <rc t="2" v="767"/>
    </bk>
    <bk>
      <rc t="2" v="768"/>
    </bk>
    <bk>
      <rc t="2" v="769"/>
    </bk>
    <bk>
      <rc t="2" v="770"/>
    </bk>
    <bk>
      <rc t="2" v="771"/>
    </bk>
    <bk>
      <rc t="2" v="772"/>
    </bk>
    <bk>
      <rc t="2" v="773"/>
    </bk>
    <bk>
      <rc t="2" v="774"/>
    </bk>
    <bk>
      <rc t="2" v="775"/>
    </bk>
    <bk>
      <rc t="2" v="776"/>
    </bk>
    <bk>
      <rc t="2" v="777"/>
    </bk>
    <bk>
      <rc t="2" v="778"/>
    </bk>
    <bk>
      <rc t="2" v="779"/>
    </bk>
    <bk>
      <rc t="2" v="780"/>
    </bk>
    <bk>
      <rc t="2" v="781"/>
    </bk>
    <bk>
      <rc t="2" v="782"/>
    </bk>
    <bk>
      <rc t="2" v="783"/>
    </bk>
    <bk>
      <rc t="2" v="784"/>
    </bk>
    <bk>
      <rc t="2" v="785"/>
    </bk>
    <bk>
      <rc t="2" v="786"/>
    </bk>
    <bk>
      <rc t="2" v="787"/>
    </bk>
    <bk>
      <rc t="2" v="788"/>
    </bk>
    <bk>
      <rc t="2" v="789"/>
    </bk>
    <bk>
      <rc t="2" v="790"/>
    </bk>
    <bk>
      <rc t="2" v="791"/>
    </bk>
    <bk>
      <rc t="2" v="792"/>
    </bk>
    <bk>
      <rc t="2" v="793"/>
    </bk>
    <bk>
      <rc t="2" v="794"/>
    </bk>
    <bk>
      <rc t="2" v="795"/>
    </bk>
    <bk>
      <rc t="2" v="796"/>
    </bk>
    <bk>
      <rc t="2" v="797"/>
    </bk>
    <bk>
      <rc t="2" v="798"/>
    </bk>
    <bk>
      <rc t="2" v="799"/>
    </bk>
    <bk>
      <rc t="2" v="800"/>
    </bk>
    <bk>
      <rc t="2" v="801"/>
    </bk>
    <bk>
      <rc t="2" v="802"/>
    </bk>
    <bk>
      <rc t="2" v="803"/>
    </bk>
    <bk>
      <rc t="2" v="804"/>
    </bk>
    <bk>
      <rc t="2" v="805"/>
    </bk>
    <bk>
      <rc t="2" v="806"/>
    </bk>
    <bk>
      <rc t="2" v="807"/>
    </bk>
    <bk>
      <rc t="2" v="808"/>
    </bk>
    <bk>
      <rc t="2" v="809"/>
    </bk>
    <bk>
      <rc t="2" v="810"/>
    </bk>
    <bk>
      <rc t="2" v="811"/>
    </bk>
    <bk>
      <rc t="2" v="812"/>
    </bk>
    <bk>
      <rc t="2" v="813"/>
    </bk>
    <bk>
      <rc t="2" v="814"/>
    </bk>
    <bk>
      <rc t="2" v="815"/>
    </bk>
    <bk>
      <rc t="2" v="816"/>
    </bk>
    <bk>
      <rc t="2" v="817"/>
    </bk>
    <bk>
      <rc t="2" v="818"/>
    </bk>
    <bk>
      <rc t="2" v="819"/>
    </bk>
    <bk>
      <rc t="2" v="820"/>
    </bk>
    <bk>
      <rc t="2" v="821"/>
    </bk>
    <bk>
      <rc t="2" v="822"/>
    </bk>
    <bk>
      <rc t="2" v="823"/>
    </bk>
    <bk>
      <rc t="2" v="824"/>
    </bk>
    <bk>
      <rc t="2" v="825"/>
    </bk>
    <bk>
      <rc t="2" v="826"/>
    </bk>
    <bk>
      <rc t="2" v="827"/>
    </bk>
    <bk>
      <rc t="2" v="828"/>
    </bk>
    <bk>
      <rc t="2" v="829"/>
    </bk>
    <bk>
      <rc t="2" v="830"/>
    </bk>
    <bk>
      <rc t="2" v="831"/>
    </bk>
    <bk>
      <rc t="2" v="832"/>
    </bk>
    <bk>
      <rc t="2" v="833"/>
    </bk>
    <bk>
      <rc t="2" v="834"/>
    </bk>
    <bk>
      <rc t="2" v="835"/>
    </bk>
    <bk>
      <rc t="2" v="836"/>
    </bk>
    <bk>
      <rc t="2" v="837"/>
    </bk>
    <bk>
      <rc t="2" v="838"/>
    </bk>
    <bk>
      <rc t="2" v="839"/>
    </bk>
    <bk>
      <rc t="2" v="840"/>
    </bk>
    <bk>
      <rc t="2" v="841"/>
    </bk>
    <bk>
      <rc t="2" v="842"/>
    </bk>
    <bk>
      <rc t="2" v="843"/>
    </bk>
    <bk>
      <rc t="2" v="844"/>
    </bk>
    <bk>
      <rc t="2" v="845"/>
    </bk>
    <bk>
      <rc t="2" v="846"/>
    </bk>
    <bk>
      <rc t="2" v="847"/>
    </bk>
    <bk>
      <rc t="2" v="848"/>
    </bk>
    <bk>
      <rc t="2" v="849"/>
    </bk>
    <bk>
      <rc t="2" v="850"/>
    </bk>
    <bk>
      <rc t="2" v="851"/>
    </bk>
    <bk>
      <rc t="2" v="852"/>
    </bk>
    <bk>
      <rc t="2" v="853"/>
    </bk>
    <bk>
      <rc t="2" v="854"/>
    </bk>
    <bk>
      <rc t="2" v="855"/>
    </bk>
    <bk>
      <rc t="2" v="856"/>
    </bk>
    <bk>
      <rc t="2" v="857"/>
    </bk>
    <bk>
      <rc t="2" v="858"/>
    </bk>
    <bk>
      <rc t="2" v="859"/>
    </bk>
    <bk>
      <rc t="2" v="860"/>
    </bk>
    <bk>
      <rc t="2" v="861"/>
    </bk>
    <bk>
      <rc t="2" v="862"/>
    </bk>
    <bk>
      <rc t="2" v="863"/>
    </bk>
    <bk>
      <rc t="2" v="864"/>
    </bk>
    <bk>
      <rc t="2" v="865"/>
    </bk>
    <bk>
      <rc t="2" v="866"/>
    </bk>
    <bk>
      <rc t="2" v="867"/>
    </bk>
    <bk>
      <rc t="2" v="868"/>
    </bk>
    <bk>
      <rc t="2" v="869"/>
    </bk>
    <bk>
      <rc t="2" v="870"/>
    </bk>
    <bk>
      <rc t="2" v="871"/>
    </bk>
    <bk>
      <rc t="2" v="872"/>
    </bk>
    <bk>
      <rc t="2" v="873"/>
    </bk>
    <bk>
      <rc t="2" v="874"/>
    </bk>
    <bk>
      <rc t="2" v="875"/>
    </bk>
    <bk>
      <rc t="2" v="876"/>
    </bk>
    <bk>
      <rc t="2" v="877"/>
    </bk>
    <bk>
      <rc t="2" v="878"/>
    </bk>
    <bk>
      <rc t="2" v="879"/>
    </bk>
    <bk>
      <rc t="2" v="880"/>
    </bk>
    <bk>
      <rc t="2" v="881"/>
    </bk>
    <bk>
      <rc t="2" v="882"/>
    </bk>
    <bk>
      <rc t="2" v="883"/>
    </bk>
    <bk>
      <rc t="2" v="884"/>
    </bk>
    <bk>
      <rc t="2" v="885"/>
    </bk>
    <bk>
      <rc t="2" v="886"/>
    </bk>
    <bk>
      <rc t="2" v="887"/>
    </bk>
    <bk>
      <rc t="2" v="888"/>
    </bk>
    <bk>
      <rc t="2" v="889"/>
    </bk>
    <bk>
      <rc t="2" v="890"/>
    </bk>
    <bk>
      <rc t="2" v="891"/>
    </bk>
    <bk>
      <rc t="2" v="892"/>
    </bk>
    <bk>
      <rc t="2" v="893"/>
    </bk>
    <bk>
      <rc t="2" v="894"/>
    </bk>
    <bk>
      <rc t="2" v="895"/>
    </bk>
    <bk>
      <rc t="2" v="896"/>
    </bk>
    <bk>
      <rc t="2" v="897"/>
    </bk>
    <bk>
      <rc t="2" v="898"/>
    </bk>
    <bk>
      <rc t="2" v="899"/>
    </bk>
    <bk>
      <rc t="2" v="900"/>
    </bk>
    <bk>
      <rc t="2" v="901"/>
    </bk>
    <bk>
      <rc t="2" v="902"/>
    </bk>
    <bk>
      <rc t="2" v="903"/>
    </bk>
    <bk>
      <rc t="2" v="904"/>
    </bk>
    <bk>
      <rc t="2" v="905"/>
    </bk>
    <bk>
      <rc t="2" v="906"/>
    </bk>
    <bk>
      <rc t="2" v="907"/>
    </bk>
    <bk>
      <rc t="2" v="908"/>
    </bk>
    <bk>
      <rc t="2" v="909"/>
    </bk>
    <bk>
      <rc t="2" v="910"/>
    </bk>
    <bk>
      <rc t="2" v="911"/>
    </bk>
    <bk>
      <rc t="2" v="912"/>
    </bk>
    <bk>
      <rc t="2" v="913"/>
    </bk>
    <bk>
      <rc t="2" v="914"/>
    </bk>
    <bk>
      <rc t="2" v="915"/>
    </bk>
    <bk>
      <rc t="2" v="916"/>
    </bk>
    <bk>
      <rc t="2" v="917"/>
    </bk>
    <bk>
      <rc t="2" v="918"/>
    </bk>
    <bk>
      <rc t="2" v="919"/>
    </bk>
    <bk>
      <rc t="2" v="920"/>
    </bk>
    <bk>
      <rc t="2" v="921"/>
    </bk>
    <bk>
      <rc t="2" v="922"/>
    </bk>
    <bk>
      <rc t="2" v="923"/>
    </bk>
    <bk>
      <rc t="2" v="924"/>
    </bk>
    <bk>
      <rc t="2" v="925"/>
    </bk>
    <bk>
      <rc t="2" v="926"/>
    </bk>
    <bk>
      <rc t="2" v="927"/>
    </bk>
    <bk>
      <rc t="2" v="928"/>
    </bk>
    <bk>
      <rc t="2" v="929"/>
    </bk>
    <bk>
      <rc t="2" v="930"/>
    </bk>
    <bk>
      <rc t="2" v="931"/>
    </bk>
    <bk>
      <rc t="2" v="932"/>
    </bk>
    <bk>
      <rc t="2" v="933"/>
    </bk>
    <bk>
      <rc t="2" v="934"/>
    </bk>
    <bk>
      <rc t="2" v="935"/>
    </bk>
    <bk>
      <rc t="2" v="936"/>
    </bk>
    <bk>
      <rc t="2" v="937"/>
    </bk>
    <bk>
      <rc t="2" v="938"/>
    </bk>
    <bk>
      <rc t="2" v="939"/>
    </bk>
    <bk>
      <rc t="2" v="940"/>
    </bk>
    <bk>
      <rc t="2" v="941"/>
    </bk>
    <bk>
      <rc t="2" v="942"/>
    </bk>
    <bk>
      <rc t="2" v="943"/>
    </bk>
    <bk>
      <rc t="2" v="944"/>
    </bk>
    <bk>
      <rc t="2" v="945"/>
    </bk>
    <bk>
      <rc t="2" v="946"/>
    </bk>
    <bk>
      <rc t="2" v="947"/>
    </bk>
    <bk>
      <rc t="2" v="948"/>
    </bk>
    <bk>
      <rc t="2" v="949"/>
    </bk>
    <bk>
      <rc t="2" v="950"/>
    </bk>
    <bk>
      <rc t="2" v="951"/>
    </bk>
    <bk>
      <rc t="2" v="952"/>
    </bk>
    <bk>
      <rc t="2" v="953"/>
    </bk>
    <bk>
      <rc t="2" v="954"/>
    </bk>
    <bk>
      <rc t="2" v="955"/>
    </bk>
    <bk>
      <rc t="2" v="956"/>
    </bk>
    <bk>
      <rc t="2" v="957"/>
    </bk>
    <bk>
      <rc t="2" v="958"/>
    </bk>
    <bk>
      <rc t="2" v="959"/>
    </bk>
    <bk>
      <rc t="2" v="960"/>
    </bk>
    <bk>
      <rc t="2" v="961"/>
    </bk>
    <bk>
      <rc t="2" v="962"/>
    </bk>
    <bk>
      <rc t="2" v="963"/>
    </bk>
    <bk>
      <rc t="2" v="964"/>
    </bk>
    <bk>
      <rc t="2" v="965"/>
    </bk>
    <bk>
      <rc t="2" v="966"/>
    </bk>
    <bk>
      <rc t="2" v="967"/>
    </bk>
    <bk>
      <rc t="2" v="968"/>
    </bk>
    <bk>
      <rc t="2" v="969"/>
    </bk>
    <bk>
      <rc t="2" v="970"/>
    </bk>
    <bk>
      <rc t="2" v="971"/>
    </bk>
    <bk>
      <rc t="2" v="972"/>
    </bk>
    <bk>
      <rc t="2" v="973"/>
    </bk>
    <bk>
      <rc t="2" v="974"/>
    </bk>
    <bk>
      <rc t="2" v="975"/>
    </bk>
    <bk>
      <rc t="2" v="976"/>
    </bk>
    <bk>
      <rc t="2" v="977"/>
    </bk>
    <bk>
      <rc t="2" v="978"/>
    </bk>
    <bk>
      <rc t="2" v="979"/>
    </bk>
    <bk>
      <rc t="2" v="980"/>
    </bk>
    <bk>
      <rc t="2" v="981"/>
    </bk>
    <bk>
      <rc t="2" v="982"/>
    </bk>
    <bk>
      <rc t="2" v="983"/>
    </bk>
    <bk>
      <rc t="2" v="984"/>
    </bk>
    <bk>
      <rc t="2" v="985"/>
    </bk>
    <bk>
      <rc t="2" v="986"/>
    </bk>
    <bk>
      <rc t="2" v="987"/>
    </bk>
    <bk>
      <rc t="2" v="988"/>
    </bk>
    <bk>
      <rc t="2" v="989"/>
    </bk>
    <bk>
      <rc t="2" v="990"/>
    </bk>
    <bk>
      <rc t="2" v="991"/>
    </bk>
    <bk>
      <rc t="2" v="992"/>
    </bk>
    <bk>
      <rc t="2" v="993"/>
    </bk>
    <bk>
      <rc t="2" v="994"/>
    </bk>
    <bk>
      <rc t="2" v="995"/>
    </bk>
    <bk>
      <rc t="2" v="996"/>
    </bk>
    <bk>
      <rc t="2" v="997"/>
    </bk>
    <bk>
      <rc t="2" v="998"/>
    </bk>
    <bk>
      <rc t="2" v="999"/>
    </bk>
    <bk>
      <rc t="2" v="1000"/>
    </bk>
    <bk>
      <rc t="2" v="1001"/>
    </bk>
    <bk>
      <rc t="2" v="1002"/>
    </bk>
    <bk>
      <rc t="2" v="1003"/>
    </bk>
    <bk>
      <rc t="2" v="1004"/>
    </bk>
    <bk>
      <rc t="2" v="1005"/>
    </bk>
    <bk>
      <rc t="2" v="1006"/>
    </bk>
    <bk>
      <rc t="2" v="1007"/>
    </bk>
    <bk>
      <rc t="2" v="1008"/>
    </bk>
    <bk>
      <rc t="2" v="1009"/>
    </bk>
    <bk>
      <rc t="2" v="1010"/>
    </bk>
    <bk>
      <rc t="2" v="1011"/>
    </bk>
  </valueMetadata>
</metadata>
</file>

<file path=xl/sharedStrings.xml><?xml version="1.0" encoding="utf-8"?>
<sst xmlns="http://schemas.openxmlformats.org/spreadsheetml/2006/main" count="49" uniqueCount="29">
  <si>
    <t>GBM</t>
  </si>
  <si>
    <t>Metrics</t>
  </si>
  <si>
    <t>Return</t>
  </si>
  <si>
    <t>Log_Return</t>
  </si>
  <si>
    <t>Date</t>
  </si>
  <si>
    <t>Close</t>
  </si>
  <si>
    <t>Mean</t>
  </si>
  <si>
    <t>Stddev</t>
  </si>
  <si>
    <t>(daily)</t>
  </si>
  <si>
    <t>Hist_Error</t>
  </si>
  <si>
    <t>Avg_Error</t>
  </si>
  <si>
    <t>Lagged_Close</t>
  </si>
  <si>
    <t>Price_delta</t>
  </si>
  <si>
    <t>Theta</t>
  </si>
  <si>
    <t>Cox-Ingersoll Ross (CIR)</t>
  </si>
  <si>
    <t>Mu</t>
  </si>
  <si>
    <t>O-U Mean Reversion</t>
  </si>
  <si>
    <t>Historical Prices</t>
  </si>
  <si>
    <t>Geometric Brownian Motion (GBM)</t>
  </si>
  <si>
    <t>Mean-Rev</t>
  </si>
  <si>
    <t>CIR</t>
  </si>
  <si>
    <t>Run</t>
  </si>
  <si>
    <t>Error</t>
  </si>
  <si>
    <t>Monte Carlo Runs</t>
  </si>
  <si>
    <t>Name</t>
  </si>
  <si>
    <t>Strategy Error Breakdown</t>
  </si>
  <si>
    <t>Mean_Rev.</t>
  </si>
  <si>
    <t>Linreg.(E vs F) ~ (y vs x)</t>
  </si>
  <si>
    <t>NVDA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</si>
</sst>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0.000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7">
    <xf numFmtId="0" fontId="0" fillId="0" borderId="0" xfId="0"/>
    <xf numFmtId="14" fontId="0" fillId="0" borderId="0" xfId="0" applyNumberFormat="1"/>
    <xf numFmtId="0" fontId="3" fillId="0" borderId="0" xfId="0" applyFont="1"/>
    <xf numFmtId="0" fontId="2" fillId="2" borderId="0" xfId="0" applyFont="1" applyFill="1"/>
    <xf numFmtId="164" fontId="0" fillId="0" borderId="0" xfId="1" applyNumberFormat="1" applyFont="1"/>
    <xf numFmtId="164" fontId="3" fillId="0" borderId="0" xfId="1" applyNumberFormat="1" applyFont="1"/>
    <xf numFmtId="0" fontId="0" fillId="0" borderId="0" xfId="1" applyNumberFormat="1" applyFont="1"/>
    <xf numFmtId="164" fontId="4" fillId="0" borderId="0" xfId="1" applyNumberFormat="1" applyFont="1"/>
    <xf numFmtId="44" fontId="0" fillId="0" borderId="0" xfId="2" applyFont="1"/>
    <xf numFmtId="44" fontId="3" fillId="0" borderId="0" xfId="2" applyFont="1"/>
    <xf numFmtId="164" fontId="3" fillId="0" borderId="0" xfId="0" applyNumberFormat="1" applyFont="1"/>
    <xf numFmtId="44" fontId="0" fillId="0" borderId="0" xfId="0" applyNumberFormat="1"/>
    <xf numFmtId="0" fontId="3" fillId="0" borderId="1" xfId="0" applyFont="1" applyBorder="1"/>
    <xf numFmtId="164" fontId="0" fillId="0" borderId="1" xfId="0" applyNumberFormat="1" applyBorder="1"/>
    <xf numFmtId="0" fontId="3" fillId="0" borderId="5" xfId="0" applyFont="1" applyBorder="1"/>
    <xf numFmtId="0" fontId="3" fillId="0" borderId="6" xfId="0" applyFont="1" applyBorder="1"/>
    <xf numFmtId="0" fontId="0" fillId="0" borderId="5" xfId="0" applyBorder="1"/>
    <xf numFmtId="164" fontId="0" fillId="0" borderId="6" xfId="0" applyNumberFormat="1" applyBorder="1"/>
    <xf numFmtId="0" fontId="0" fillId="0" borderId="7" xfId="0" applyBorder="1"/>
    <xf numFmtId="164" fontId="0" fillId="0" borderId="8" xfId="0" applyNumberFormat="1" applyBorder="1"/>
    <xf numFmtId="164" fontId="0" fillId="0" borderId="9" xfId="0" applyNumberFormat="1" applyBorder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Array" Target="richData/rdarray.xml"/><Relationship Id="rId13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12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11" Type="http://schemas.microsoft.com/office/2017/06/relationships/rdSupportingPropertyBag" Target="richData/rdsupportingpropertybag.xml"/><Relationship Id="rId5" Type="http://schemas.openxmlformats.org/officeDocument/2006/relationships/sheetMetadata" Target="metadata.xml"/><Relationship Id="rId10" Type="http://schemas.microsoft.com/office/2017/06/relationships/rdSupportingPropertyBagStructure" Target="richData/rdsupportingpropertybagstructure.xml"/><Relationship Id="rId4" Type="http://schemas.openxmlformats.org/officeDocument/2006/relationships/sharedStrings" Target="sharedStrings.xml"/><Relationship Id="rId9" Type="http://schemas.microsoft.com/office/2017/06/relationships/richStyles" Target="richData/rich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AU" sz="1200"/>
              <a:t>Percentage absolute error of pricing strategies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Sheet1!$O$19</c:f>
              <c:strCache>
                <c:ptCount val="1"/>
                <c:pt idx="0">
                  <c:v>Mean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Sheet1!$N$20:$N$22</c:f>
              <c:strCache>
                <c:ptCount val="3"/>
                <c:pt idx="0">
                  <c:v>GBM</c:v>
                </c:pt>
                <c:pt idx="1">
                  <c:v>Mean_Rev.</c:v>
                </c:pt>
                <c:pt idx="2">
                  <c:v>CIR</c:v>
                </c:pt>
              </c:strCache>
            </c:strRef>
          </c:cat>
          <c:val>
            <c:numRef>
              <c:f>Sheet1!$O$20:$O$22</c:f>
              <c:numCache>
                <c:formatCode>0.0000%</c:formatCode>
                <c:ptCount val="3"/>
                <c:pt idx="0">
                  <c:v>6.4578927398133673E-2</c:v>
                </c:pt>
                <c:pt idx="1">
                  <c:v>6.7820635355684798E-3</c:v>
                </c:pt>
                <c:pt idx="2">
                  <c:v>7.2531848966849843E-3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38-4FDF-9DC5-97430ADE2D37}"/>
            </c:ext>
          </c:extLst>
        </c:ser>
        <c:ser>
          <c:idx val="1"/>
          <c:order val="1"/>
          <c:tx>
            <c:strRef>
              <c:f>Sheet1!$P$19</c:f>
              <c:strCache>
                <c:ptCount val="1"/>
                <c:pt idx="0">
                  <c:v>Stddev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Sheet1!$N$20:$N$22</c:f>
              <c:strCache>
                <c:ptCount val="3"/>
                <c:pt idx="0">
                  <c:v>GBM</c:v>
                </c:pt>
                <c:pt idx="1">
                  <c:v>Mean_Rev.</c:v>
                </c:pt>
                <c:pt idx="2">
                  <c:v>CIR</c:v>
                </c:pt>
              </c:strCache>
            </c:strRef>
          </c:cat>
          <c:val>
            <c:numRef>
              <c:f>Sheet1!$P$20:$P$22</c:f>
              <c:numCache>
                <c:formatCode>0.0000%</c:formatCode>
                <c:ptCount val="3"/>
                <c:pt idx="0">
                  <c:v>3.7685891808685111E-2</c:v>
                </c:pt>
                <c:pt idx="1">
                  <c:v>6.1961203991342358E-5</c:v>
                </c:pt>
                <c:pt idx="2">
                  <c:v>9.7831783687530672E-4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38-4FDF-9DC5-97430ADE2D3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179548015"/>
        <c:axId val="1179549455"/>
        <c:axId val="0"/>
      </c:bar3DChart>
      <c:catAx>
        <c:axId val="11795480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strategy</a:t>
                </a:r>
                <a:r>
                  <a:rPr lang="en-AU" baseline="0"/>
                  <a:t> used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549455"/>
        <c:crosses val="autoZero"/>
        <c:auto val="1"/>
        <c:lblAlgn val="ctr"/>
        <c:lblOffset val="100"/>
        <c:noMultiLvlLbl val="0"/>
      </c:catAx>
      <c:valAx>
        <c:axId val="1179549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Percentage of 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548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142874</xdr:colOff>
      <xdr:row>25</xdr:row>
      <xdr:rowOff>171450</xdr:rowOff>
    </xdr:from>
    <xdr:to>
      <xdr:col>14</xdr:col>
      <xdr:colOff>95249</xdr:colOff>
      <xdr:row>43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DE15EC-45E6-2D74-F034-44FE95EBBD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4">
  <a r="1" c="502">
    <v t="i">1</v>
    <v t="i">2</v>
    <v t="i">3</v>
    <v t="i">4</v>
    <v t="i">7</v>
    <v t="i">8</v>
    <v t="i">9</v>
    <v t="i">10</v>
    <v t="i">11</v>
    <v t="i">15</v>
    <v t="i">16</v>
    <v t="i">17</v>
    <v t="i">18</v>
    <v t="i">21</v>
    <v t="i">22</v>
    <v t="i">23</v>
    <v t="i">24</v>
    <v t="i">25</v>
    <v t="i">28</v>
    <v t="i">29</v>
    <v t="i">30</v>
    <v t="i">31</v>
    <v t="i">32</v>
    <v t="i">35</v>
    <v t="i">36</v>
    <v t="i">37</v>
    <v t="i">38</v>
    <v t="i">39</v>
    <v t="i">42</v>
    <v t="i">43</v>
    <v t="i">44</v>
    <v t="i">45</v>
    <v t="i">46</v>
    <v t="i">50</v>
    <v t="i">51</v>
    <v t="i">52</v>
    <v t="i">53</v>
    <v t="i">56</v>
    <v t="i">57</v>
    <v t="i">58</v>
    <v t="i">59</v>
    <v t="i">60</v>
    <v t="i">63</v>
    <v t="i">64</v>
    <v t="i">65</v>
    <v t="i">66</v>
    <v t="i">67</v>
    <v t="i">70</v>
    <v t="i">71</v>
    <v t="i">72</v>
    <v t="i">73</v>
    <v t="i">74</v>
    <v t="i">77</v>
    <v t="i">78</v>
    <v t="i">79</v>
    <v t="i">80</v>
    <v t="i">81</v>
    <v t="i">84</v>
    <v t="i">85</v>
    <v t="i">86</v>
    <v t="i">87</v>
    <v t="i">91</v>
    <v t="i">92</v>
    <v t="i">93</v>
    <v t="i">94</v>
    <v t="i">95</v>
    <v t="i">98</v>
    <v t="i">99</v>
    <v t="i">100</v>
    <v t="i">101</v>
    <v t="i">102</v>
    <v t="i">105</v>
    <v t="i">106</v>
    <v t="i">107</v>
    <v t="i">108</v>
    <v t="i">109</v>
    <v t="i">112</v>
    <v t="i">113</v>
    <v t="i">114</v>
    <v t="i">115</v>
    <v t="i">116</v>
    <v t="i">119</v>
    <v t="i">120</v>
    <v t="i">121</v>
    <v t="i">122</v>
    <v t="i">123</v>
    <v t="i">126</v>
    <v t="i">127</v>
    <v t="i">128</v>
    <v t="i">129</v>
    <v t="i">130</v>
    <v t="i">133</v>
    <v t="i">134</v>
    <v t="i">135</v>
    <v t="i">136</v>
    <v t="i">137</v>
    <v t="i">140</v>
    <v t="i">141</v>
    <v t="i">142</v>
    <v t="i">143</v>
    <v t="i">144</v>
    <v t="i">148</v>
    <v t="i">149</v>
    <v t="i">150</v>
    <v t="i">151</v>
    <v t="i">154</v>
    <v t="i">155</v>
    <v t="i">156</v>
    <v t="i">157</v>
    <v t="i">158</v>
    <v t="i">161</v>
    <v t="i">162</v>
    <v t="i">163</v>
    <v t="i">164</v>
    <v t="i">165</v>
    <v t="i">168</v>
    <v t="i">169</v>
    <v t="i">171</v>
    <v t="i">172</v>
    <v t="i">175</v>
    <v t="i">176</v>
    <v t="i">177</v>
    <v t="i">178</v>
    <v t="i">179</v>
    <v t="i">182</v>
    <v t="i">183</v>
    <v t="i">184</v>
    <v t="i">186</v>
    <v t="i">189</v>
    <v t="i">190</v>
    <v t="i">191</v>
    <v t="i">192</v>
    <v t="i">193</v>
    <v t="i">196</v>
    <v t="i">197</v>
    <v t="i">198</v>
    <v t="i">199</v>
    <v t="i">200</v>
    <v t="i">203</v>
    <v t="i">204</v>
    <v t="i">205</v>
    <v t="i">206</v>
    <v t="i">207</v>
    <v t="i">210</v>
    <v t="i">211</v>
    <v t="i">212</v>
    <v t="i">213</v>
    <v t="i">214</v>
    <v t="i">217</v>
    <v t="i">218</v>
    <v t="i">219</v>
    <v t="i">220</v>
    <v t="i">221</v>
    <v t="i">224</v>
    <v t="i">225</v>
    <v t="i">226</v>
    <v t="i">227</v>
    <v t="i">228</v>
    <v t="i">231</v>
    <v t="i">232</v>
    <v t="i">233</v>
    <v t="i">234</v>
    <v t="i">235</v>
    <v t="i">238</v>
    <v t="i">239</v>
    <v t="i">240</v>
    <v t="i">241</v>
    <v t="i">242</v>
    <v t="i">246</v>
    <v t="i">247</v>
    <v t="i">248</v>
    <v t="i">249</v>
    <v t="i">252</v>
    <v t="i">253</v>
    <v t="i">254</v>
    <v t="i">255</v>
    <v t="i">256</v>
    <v t="i">259</v>
    <v t="i">260</v>
    <v t="i">261</v>
    <v t="i">262</v>
    <v t="i">263</v>
    <v t="i">266</v>
    <v t="i">267</v>
    <v t="i">268</v>
    <v t="i">269</v>
    <v t="i">270</v>
    <v t="i">273</v>
    <v t="i">274</v>
    <v t="i">275</v>
    <v t="i">276</v>
    <v t="i">277</v>
    <v t="i">280</v>
    <v t="i">281</v>
    <v t="i">282</v>
    <v t="i">283</v>
    <v t="i">284</v>
    <v t="i">287</v>
    <v t="i">288</v>
    <v t="i">289</v>
    <v t="i">290</v>
    <v t="i">291</v>
    <v t="i">294</v>
    <v t="i">295</v>
    <v t="i">296</v>
    <v t="i">297</v>
    <v t="i">298</v>
    <v t="i">301</v>
    <v t="i">302</v>
    <v t="i">303</v>
    <v t="i">304</v>
    <v t="i">305</v>
    <v t="i">308</v>
    <v t="i">309</v>
    <v t="i">310</v>
    <v t="i">311</v>
    <v t="i">312</v>
    <v t="i">315</v>
    <v t="i">316</v>
    <v t="i">317</v>
    <v t="i">318</v>
    <v t="i">319</v>
    <v t="i">322</v>
    <v t="i">323</v>
    <v t="i">324</v>
    <v t="i">325</v>
    <v t="i">326</v>
    <v t="i">329</v>
    <v t="i">330</v>
    <v t="i">331</v>
    <v t="i">333</v>
    <v t="i">336</v>
    <v t="i">337</v>
    <v t="i">338</v>
    <v t="i">339</v>
    <v t="i">340</v>
    <v t="i">343</v>
    <v t="i">344</v>
    <v t="i">345</v>
    <v t="i">346</v>
    <v t="i">347</v>
    <v t="i">350</v>
    <v t="i">351</v>
    <v t="i">352</v>
    <v t="i">353</v>
    <v t="i">354</v>
    <v t="i">357</v>
    <v t="i">358</v>
    <v t="i">360</v>
    <v t="i">361</v>
    <v t="i">364</v>
    <v t="i">365</v>
    <v t="i">367</v>
    <v t="i">368</v>
    <v t="i">371</v>
    <v t="i">372</v>
    <v t="i">373</v>
    <v t="i">375</v>
    <v t="i">378</v>
    <v t="i">379</v>
    <v t="i">380</v>
    <v t="i">381</v>
    <v t="i">382</v>
    <v t="i">386</v>
    <v t="i">387</v>
    <v t="i">388</v>
    <v t="i">389</v>
    <v t="i">392</v>
    <v t="i">393</v>
    <v t="i">394</v>
    <v t="i">395</v>
    <v t="i">396</v>
    <v t="i">399</v>
    <v t="i">400</v>
    <v t="i">401</v>
    <v t="i">402</v>
    <v t="i">403</v>
    <v t="i">406</v>
    <v t="i">407</v>
    <v t="i">408</v>
    <v t="i">409</v>
    <v t="i">410</v>
    <v t="i">414</v>
    <v t="i">415</v>
    <v t="i">416</v>
    <v t="i">417</v>
    <v t="i">420</v>
    <v t="i">421</v>
    <v t="i">422</v>
    <v t="i">423</v>
    <v t="i">424</v>
    <v t="i">427</v>
    <v t="i">428</v>
    <v t="i">429</v>
    <v t="i">430</v>
    <v t="i">431</v>
    <v t="i">434</v>
    <v t="i">435</v>
    <v t="i">436</v>
    <v t="i">437</v>
    <v t="i">438</v>
    <v t="i">441</v>
    <v t="i">442</v>
    <v t="i">443</v>
    <v t="i">444</v>
    <v t="i">445</v>
    <v t="i">448</v>
    <v t="i">449</v>
    <v t="i">450</v>
    <v t="i">451</v>
    <v t="i">452</v>
    <v t="i">455</v>
    <v t="i">456</v>
    <v t="i">457</v>
    <v t="i">458</v>
    <v t="i">459</v>
    <v t="i">462</v>
    <v t="i">463</v>
    <v t="i">464</v>
    <v t="i">465</v>
    <v t="i">466</v>
    <v t="i">469</v>
    <v t="i">470</v>
    <v t="i">471</v>
    <v t="i">472</v>
    <v t="i">476</v>
    <v t="i">477</v>
    <v t="i">478</v>
    <v t="i">479</v>
    <v t="i">480</v>
    <v t="i">483</v>
    <v t="i">484</v>
    <v t="i">485</v>
    <v t="i">486</v>
    <v t="i">487</v>
    <v t="i">490</v>
    <v t="i">491</v>
    <v t="i">492</v>
    <v t="i">493</v>
    <v t="i">494</v>
    <v t="i">497</v>
    <v t="i">498</v>
    <v t="i">499</v>
    <v t="i">500</v>
    <v t="i">501</v>
    <v t="i">504</v>
    <v t="i">505</v>
    <v t="i">506</v>
    <v t="i">507</v>
    <v t="i">508</v>
    <v t="i">512</v>
    <v t="i">513</v>
    <v t="i">514</v>
    <v t="i">515</v>
    <v t="i">518</v>
    <v t="i">519</v>
    <v t="i">520</v>
    <v t="i">521</v>
    <v t="i">522</v>
    <v t="i">525</v>
    <v t="i">526</v>
    <v t="i">527</v>
    <v t="i">528</v>
    <v t="i">529</v>
    <v t="i">532</v>
    <v t="i">533</v>
    <v t="i">534</v>
    <v t="i">536</v>
    <v t="i">539</v>
    <v t="i">540</v>
    <v t="i">541</v>
    <v t="i">542</v>
    <v t="i">543</v>
    <v t="i">546</v>
    <v t="i">547</v>
    <v t="i">548</v>
    <v t="i">549</v>
    <v t="i">553</v>
    <v t="i">554</v>
    <v t="i">555</v>
    <v t="i">556</v>
    <v t="i">557</v>
    <v t="i">560</v>
    <v t="i">561</v>
    <v t="i">562</v>
    <v t="i">563</v>
    <v t="i">564</v>
    <v t="i">567</v>
    <v t="i">568</v>
    <v t="i">569</v>
    <v t="i">570</v>
    <v t="i">571</v>
    <v t="i">574</v>
    <v t="i">575</v>
    <v t="i">576</v>
    <v t="i">577</v>
    <v t="i">578</v>
    <v t="i">581</v>
    <v t="i">582</v>
    <v t="i">583</v>
    <v t="i">584</v>
    <v t="i">585</v>
    <v t="i">588</v>
    <v t="i">589</v>
    <v t="i">590</v>
    <v t="i">591</v>
    <v t="i">592</v>
    <v t="i">595</v>
    <v t="i">596</v>
    <v t="i">597</v>
    <v t="i">598</v>
    <v t="i">599</v>
    <v t="i">602</v>
    <v t="i">603</v>
    <v t="i">604</v>
    <v t="i">605</v>
    <v t="i">606</v>
    <v t="i">610</v>
    <v t="i">611</v>
    <v t="i">612</v>
    <v t="i">613</v>
    <v t="i">616</v>
    <v t="i">617</v>
    <v t="i">618</v>
    <v t="i">619</v>
    <v t="i">620</v>
    <v t="i">623</v>
    <v t="i">624</v>
    <v t="i">625</v>
    <v t="i">626</v>
    <v t="i">627</v>
    <v t="i">630</v>
    <v t="i">631</v>
    <v t="i">632</v>
    <v t="i">633</v>
    <v t="i">634</v>
    <v t="i">637</v>
    <v t="i">638</v>
    <v t="i">639</v>
    <v t="i">640</v>
    <v t="i">641</v>
    <v t="i">644</v>
    <v t="i">645</v>
    <v t="i">646</v>
    <v t="i">647</v>
    <v t="i">648</v>
    <v t="i">651</v>
    <v t="i">652</v>
    <v t="i">653</v>
    <v t="i">654</v>
    <v t="i">655</v>
    <v t="i">658</v>
    <v t="i">659</v>
    <v t="i">660</v>
    <v t="i">661</v>
    <v t="i">662</v>
    <v t="i">665</v>
    <v t="i">666</v>
    <v t="i">667</v>
    <v t="i">668</v>
    <v t="i">669</v>
    <v t="i">672</v>
    <v t="i">673</v>
    <v t="i">674</v>
    <v t="i">675</v>
    <v t="i">676</v>
    <v t="i">679</v>
    <v t="i">680</v>
    <v t="i">681</v>
    <v t="i">682</v>
    <v t="i">683</v>
    <v t="i">686</v>
    <v t="i">687</v>
    <v t="i">688</v>
    <v t="i">689</v>
    <v t="i">690</v>
    <v t="i">693</v>
    <v t="i">694</v>
    <v t="i">695</v>
    <v t="i">697</v>
    <v t="i">700</v>
    <v t="i">701</v>
    <v t="i">702</v>
    <v t="i">703</v>
    <v t="i">704</v>
    <v t="i">707</v>
    <v t="i">708</v>
    <v t="i">709</v>
    <v t="i">710</v>
    <v t="i">711</v>
    <v t="i">714</v>
    <v t="i">715</v>
    <v t="i">716</v>
    <v t="i">717</v>
    <v t="i">718</v>
    <v t="i">721</v>
    <v t="i">722</v>
    <v t="i">723</v>
    <v t="i">725</v>
    <v t="i">728</v>
    <v t="i">729</v>
    <v t="i">730</v>
  </a>
  <a r="1" c="502">
    <v>48.167999999999999</v>
    <v>47.569000000000003</v>
    <v>47.997999999999998</v>
    <v>49.097000000000001</v>
    <v>52.253</v>
    <v>53.14</v>
    <v>54.35</v>
    <v>54.822000000000003</v>
    <v>54.71</v>
    <v>56.381999999999998</v>
    <v>56.052999999999997</v>
    <v>57.106999999999999</v>
    <v>59.491</v>
    <v>59.654000000000003</v>
    <v>59.872999999999998</v>
    <v>61.362000000000002</v>
    <v>61.616999999999997</v>
    <v>61.030999999999999</v>
    <v>62.465000000000003</v>
    <v>62.774000000000001</v>
    <v>61.527000000000001</v>
    <v>63.027000000000001</v>
    <v>66.16</v>
    <v>69.331999999999994</v>
    <v>68.222999999999999</v>
    <v>70.099000000000004</v>
    <v>69.641000000000005</v>
    <v>72.132999999999996</v>
    <v>72.248000000000005</v>
    <v>72.128</v>
    <v>73.900000000000006</v>
    <v>72.658000000000001</v>
    <v>72.613</v>
    <v>69.451999999999998</v>
    <v>67.471999999999994</v>
    <v>78.537999999999997</v>
    <v>78.816999999999993</v>
    <v>79.091999999999999</v>
    <v>78.700999999999993</v>
    <v>77.662999999999997</v>
    <v>79.111999999999995</v>
    <v>82.278999999999996</v>
    <v>85.236999999999995</v>
    <v>85.963999999999999</v>
    <v>88.7</v>
    <v>92.668999999999997</v>
    <v>87.528000000000006</v>
    <v>85.774000000000001</v>
    <v>91.912999999999997</v>
    <v>90.888000000000005</v>
    <v>87.944000000000003</v>
    <v>87.836500000000001</v>
    <v>88.454999999999998</v>
    <v>89.397999999999996</v>
    <v>90.372</v>
    <v>91.435000000000002</v>
    <v>94.289000000000001</v>
    <v>95.001999999999995</v>
    <v>92.561000000000007</v>
    <v>90.25</v>
    <v>90.355999999999995</v>
    <v>90.363</v>
    <v>89.451999999999998</v>
    <v>88.963999999999999</v>
    <v>85.905000000000001</v>
    <v>88.007999999999996</v>
    <v>87.132999999999996</v>
    <v>85.353999999999999</v>
    <v>87.039000000000001</v>
    <v>90.616</v>
    <v>88.186000000000007</v>
    <v>86.001000000000005</v>
    <v>87.415000000000006</v>
    <v>84.034999999999997</v>
    <v>84.671000000000006</v>
    <v>76.2</v>
    <v>79.518000000000001</v>
    <v>82.423000000000002</v>
    <v>79.677000000000007</v>
    <v>82.632000000000005</v>
    <v>87.734999999999999</v>
    <v>87.757000000000005</v>
    <v>86.402000000000001</v>
    <v>83.040999999999997</v>
    <v>85.816999999999993</v>
    <v>88.789000000000001</v>
    <v>92.14</v>
    <v>90.554000000000002</v>
    <v>90.412000000000006</v>
    <v>88.747</v>
    <v>89.878</v>
    <v>90.399000000000001</v>
    <v>91.355999999999995</v>
    <v>94.63</v>
    <v>94.358999999999995</v>
    <v>92.478999999999999</v>
    <v>94.78</v>
    <v>95.385999999999996</v>
    <v>94.95</v>
    <v>103.79900000000001</v>
    <v>106.46899999999999</v>
    <v>113.901</v>
    <v>114.825</v>
    <v>110.5</v>
    <v>109.633</v>
    <v>115</v>
    <v>116.437</v>
    <v>122.44</v>
    <v>120.998</v>
    <v>120.88800000000001</v>
    <v>121.79</v>
    <v>120.91</v>
    <v>125.2</v>
    <v>129.61000000000001</v>
    <v>131.88</v>
    <v>130.97999999999999</v>
    <v>135.58000000000001</v>
    <v>130.78</v>
    <v>126.57</v>
    <v>118.11</v>
    <v>126.09</v>
    <v>126.4</v>
    <v>123.99</v>
    <v>123.54</v>
    <v>124.3</v>
    <v>122.67</v>
    <v>128.28</v>
    <v>125.83</v>
    <v>128.19999999999999</v>
    <v>131.38</v>
    <v>134.91</v>
    <v>127.4</v>
    <v>129.24</v>
    <v>128.44</v>
    <v>126.36</v>
    <v>117.99</v>
    <v>121.09</v>
    <v>117.93</v>
    <v>123.54</v>
    <v>122.59</v>
    <v>114.25</v>
    <v>112.28</v>
    <v>113.06</v>
    <v>111.59</v>
    <v>103.73</v>
    <v>117.02</v>
    <v>109.21</v>
    <v>107.27</v>
    <v>100.45</v>
    <v>104.25</v>
    <v>98.91</v>
    <v>104.97</v>
    <v>104.75</v>
    <v>109.02</v>
    <v>116.14</v>
    <v>118.08</v>
    <v>122.86</v>
    <v>124.58</v>
    <v>130</v>
    <v>127.25</v>
    <v>128.5</v>
    <v>123.74</v>
    <v>129.37</v>
    <v>126.46</v>
    <v>128.30000000000001</v>
    <v>125.61</v>
    <v>117.59</v>
    <v>119.37</v>
    <v>108</v>
    <v>106.21</v>
    <v>107.21</v>
    <v>102.83</v>
    <v>106.47</v>
    <v>108.1</v>
    <v>116.91</v>
    <v>119.14</v>
    <v>119.1</v>
    <v>116.78</v>
    <v>115.59</v>
    <v>113.37</v>
    <v>117.87</v>
    <v>116</v>
    <v>116.26</v>
    <v>120.87</v>
    <v>123.51</v>
    <v>124.04</v>
    <v>121.4</v>
    <v>121.44</v>
    <v>117</v>
    <v>118.85</v>
    <v>122.85</v>
    <v>124.92</v>
    <v>127.72</v>
    <v>132.88999999999999</v>
    <v>132.65</v>
    <v>134.81</v>
    <v>134.80000000000001</v>
    <v>138.07</v>
    <v>131.6</v>
    <v>135.72</v>
    <v>136.93</v>
    <v>138</v>
    <v>143.71</v>
    <v>143.59</v>
    <v>139.56</v>
    <v>140.41</v>
    <v>141.54</v>
    <v>140.52000000000001</v>
    <v>141.25</v>
    <v>139.33500000000001</v>
    <v>132.76</v>
    <v>135.4</v>
    <v>136.05000000000001</v>
    <v>139.91</v>
    <v>145.61000000000001</v>
    <v>148.88</v>
    <v>147.63</v>
    <v>145.26</v>
    <v>148.29</v>
    <v>146.27000000000001</v>
    <v>146.76</v>
    <v>141.97999999999999</v>
    <v>140.15</v>
    <v>147.01</v>
    <v>145.88999999999999</v>
    <v>146.66999999999999</v>
    <v>141.94999999999999</v>
    <v>136.02000000000001</v>
    <v>136.91999999999999</v>
    <v>135.34</v>
    <v>138.25</v>
    <v>138.63</v>
    <v>140.26</v>
    <v>145.13999999999999</v>
    <v>145.06</v>
    <v>142.44</v>
    <v>138.81</v>
    <v>135.07</v>
    <v>139.31</v>
    <v>137.34</v>
    <v>134.25</v>
    <v>132</v>
    <v>130.38999999999999</v>
    <v>128.91</v>
    <v>130.68</v>
    <v>134.69999999999999</v>
    <v>139.66999999999999</v>
    <v>140.22</v>
    <v>139.93</v>
    <v>137.01</v>
    <v>137.49</v>
    <v>134.29</v>
    <v>138.31</v>
    <v>144.47</v>
    <v>149.43</v>
    <v>140.13999999999999</v>
    <v>140.11000000000001</v>
    <v>135.91</v>
    <v>133.22999999999999</v>
    <v>131.76</v>
    <v>136.24</v>
    <v>133.57</v>
    <v>137.71</v>
    <v>140.83000000000001</v>
    <v>147.07</v>
    <v>147.22</v>
    <v>142.62</v>
    <v>118.42</v>
    <v>128.99</v>
    <v>123.7</v>
    <v>124.65</v>
    <v>120.07</v>
    <v>116.66</v>
    <v>118.65</v>
    <v>124.83</v>
    <v>128.68</v>
    <v>129.84</v>
    <v>133.57</v>
    <v>132.80000000000001</v>
    <v>131.13999999999999</v>
    <v>135.29</v>
    <v>138.85</v>
    <v>139.4</v>
    <v>139.22999999999999</v>
    <v>140.11000000000001</v>
    <v>134.43</v>
    <v>130.28</v>
    <v>126.63</v>
    <v>131.28</v>
    <v>120.15</v>
    <v>124.92</v>
    <v>114.06</v>
    <v>115.99</v>
    <v>117.3</v>
    <v>110.57</v>
    <v>112.69</v>
    <v>106.98</v>
    <v>108.76</v>
    <v>115.74</v>
    <v>115.58</v>
    <v>121.67</v>
    <v>119.53</v>
    <v>115.43</v>
    <v>117.52</v>
    <v>118.53</v>
    <v>117.7</v>
    <v>121.41</v>
    <v>120.69</v>
    <v>113.76</v>
    <v>111.43</v>
    <v>109.67</v>
    <v>108.38</v>
    <v>110.15</v>
    <v>110.42</v>
    <v>101.8</v>
    <v>94.31</v>
    <v>97.64</v>
    <v>96.3</v>
    <v>114.33</v>
    <v>107.57</v>
    <v>110.93</v>
    <v>110.71</v>
    <v>112.2</v>
    <v>104.49</v>
    <v>101.49</v>
    <v>96.91</v>
    <v>98.89</v>
    <v>102.71</v>
    <v>106.43</v>
    <v>111.01</v>
    <v>108.73</v>
    <v>109.02</v>
    <v>108.92</v>
    <v>111.61</v>
    <v>114.5</v>
    <v>113.82</v>
    <v>113.54</v>
    <v>117.06</v>
    <v>117.37</v>
    <v>116.65</v>
    <v>123</v>
    <v>129.93</v>
    <v>135.34</v>
    <v>134.83000000000001</v>
    <v>135.4</v>
    <v>135.57</v>
    <v>134.38</v>
    <v>131.80000000000001</v>
    <v>132.83000000000001</v>
    <v>131.29</v>
    <v>135.5</v>
    <v>134.81</v>
    <v>139.19</v>
    <v>135.13</v>
    <v>137.38</v>
    <v>141.22</v>
    <v>141.91999999999999</v>
    <v>139.99</v>
    <v>141.72</v>
    <v>142.63</v>
    <v>143.96</v>
    <v>142.83000000000001</v>
    <v>145</v>
    <v>141.97</v>
    <v>144.69</v>
    <v>144.12</v>
    <v>145.47999999999999</v>
    <v>143.85</v>
    <v>144.16999999999999</v>
    <v>147.9</v>
    <v>154.31</v>
    <v>155.02000000000001</v>
    <v>157.75</v>
    <v>157.99</v>
    <v>153.30000000000001</v>
    <v>157.25</v>
    <v>159.34</v>
    <v>158.24</v>
    <v>160</v>
    <v>162.88</v>
    <v>164.1</v>
    <v>164.92</v>
    <v>164.07</v>
    <v>170.7</v>
    <v>171.37</v>
    <v>173</v>
    <v>172.41</v>
    <v>171.38</v>
    <v>167.03</v>
    <v>170.78</v>
    <v>173.74</v>
    <v>173.5</v>
    <v>176.75</v>
    <v>175.51</v>
    <v>179.27</v>
    <v>177.87</v>
    <v>173.72</v>
    <v>180</v>
    <v>178.26</v>
    <v>179.42</v>
    <v>180.77</v>
    <v>182.7</v>
    <v>182.06</v>
    <v>183.16</v>
    <v>181.59</v>
    <v>182.02</v>
    <v>180.45</v>
    <v>182.01</v>
    <v>175.64</v>
    <v>175.4</v>
    <v>174.98</v>
    <v>177.99</v>
    <v>179.81</v>
    <v>181.77</v>
    <v>181.6</v>
    <v>180.17</v>
    <v>174.18</v>
    <v>170.78</v>
    <v>170.62</v>
    <v>171.66</v>
    <v>167.02</v>
    <v>168.31</v>
    <v>170.76</v>
    <v>177.33</v>
    <v>177.17</v>
    <v>177.82</v>
    <v>177.75</v>
    <v>174.88</v>
    <v>170.29</v>
    <v>176.24</v>
    <v>176.67</v>
    <v>183.61</v>
    <v>178.43</v>
    <v>176.97</v>
    <v>177.69</v>
    <v>178.19</v>
    <v>181.85</v>
    <v>186.58</v>
    <v>187.24</v>
    <v>188.89</v>
    <v>187.62</v>
    <v>185.54</v>
    <v>185.04</v>
    <v>189.11</v>
    <v>192.57</v>
    <v>183.16</v>
    <v>188.32</v>
    <v>180.03</v>
    <v>179.83</v>
    <v>181.81</v>
    <v>183.22</v>
    <v>182.64</v>
    <v>181.16</v>
    <v>180.28</v>
    <v>182.16</v>
    <v>186.26</v>
    <v>191.49</v>
    <v>201.03</v>
    <v>207.04</v>
    <v>202.89</v>
    <v>202.49</v>
    <v>206.88</v>
    <v>198.69</v>
    <v>195.21</v>
    <v>188.08</v>
    <v>188.15</v>
    <v>199.05</v>
    <v>193.16</v>
    <v>193.8</v>
    <v>186.86</v>
    <v>190.17</v>
    <v>186.6</v>
    <v>181.36</v>
    <v>186.52</v>
    <v>180.64</v>
    <v>178.88</v>
    <v>182.55</v>
    <v>177.82</v>
    <v>180.26</v>
    <v>177</v>
    <v>179.92</v>
    <v>181.46</v>
    <v>179.59</v>
    <v>183.38</v>
    <v>182.41</v>
    <v>185.55</v>
    <v>184.97</v>
    <v>183.78</v>
    <v>180.93</v>
    <v>175.02</v>
    <v>176.29</v>
    <v>177.72</v>
    <v>170.94</v>
    <v>174.14</v>
    <v>180.99</v>
    <v>183.69</v>
    <v>189.21</v>
    <v>188.61</v>
    <v>190.53</v>
    <v>188.22</v>
    <v>187.54</v>
    <v>186.5</v>
  </a>
  <a r="1" c="11">
    <v t="i">1</v>
    <v t="i">4</v>
    <v t="i">5</v>
    <v t="i">6</v>
    <v t="i">7</v>
    <v t="i">8</v>
    <v t="i">11</v>
    <v t="i">12</v>
    <v t="i">13</v>
    <v t="i">14</v>
    <v t="i">15</v>
  </a>
  <a r="1" c="11">
    <v>188.85</v>
    <v>188.12</v>
    <v>187.24</v>
    <v>189.11</v>
    <v>185.04</v>
    <v>184.86</v>
    <v>184.94</v>
    <v>185.81</v>
    <v>183.14</v>
    <v>187.05</v>
    <v>186.23</v>
  </a>
</arrayData>
</file>

<file path=xl/richData/rdrichvalue.xml><?xml version="1.0" encoding="utf-8"?>
<rvData xmlns="http://schemas.microsoft.com/office/spreadsheetml/2017/richdata" count="1014">
  <rv s="0">
    <fb>45293</fb>
    <v>0</v>
  </rv>
  <rv s="0">
    <fb>48.167999999999999</fb>
    <v>1</v>
  </rv>
  <rv s="0">
    <fb>46024</fb>
    <v>0</v>
  </rv>
  <rv s="0">
    <fb>188.85</fb>
    <v>1</v>
  </rv>
  <rv s="0">
    <fb>45294</fb>
    <v>0</v>
  </rv>
  <rv s="0">
    <fb>47.569000000000003</fb>
    <v>1</v>
  </rv>
  <rv s="0">
    <fb>46027</fb>
    <v>0</v>
  </rv>
  <rv s="0">
    <fb>188.12</fb>
    <v>1</v>
  </rv>
  <rv s="0">
    <fb>45295</fb>
    <v>0</v>
  </rv>
  <rv s="0">
    <fb>47.997999999999998</fb>
    <v>1</v>
  </rv>
  <rv s="0">
    <fb>46028</fb>
    <v>0</v>
  </rv>
  <rv s="0">
    <fb>187.24</fb>
    <v>1</v>
  </rv>
  <rv s="0">
    <fb>45296</fb>
    <v>0</v>
  </rv>
  <rv s="0">
    <fb>49.097000000000001</fb>
    <v>1</v>
  </rv>
  <rv s="0">
    <fb>46029</fb>
    <v>0</v>
  </rv>
  <rv s="0">
    <fb>189.11</fb>
    <v>1</v>
  </rv>
  <rv s="0">
    <fb>45299</fb>
    <v>0</v>
  </rv>
  <rv s="0">
    <fb>52.253</fb>
    <v>1</v>
  </rv>
  <rv s="0">
    <fb>46030</fb>
    <v>0</v>
  </rv>
  <rv s="0">
    <fb>185.04</fb>
    <v>1</v>
  </rv>
  <rv s="0">
    <fb>45300</fb>
    <v>0</v>
  </rv>
  <rv s="0">
    <fb>53.14</fb>
    <v>1</v>
  </rv>
  <rv s="0">
    <fb>46031</fb>
    <v>0</v>
  </rv>
  <rv s="0">
    <fb>184.86</fb>
    <v>1</v>
  </rv>
  <rv s="0">
    <fb>45301</fb>
    <v>0</v>
  </rv>
  <rv s="0">
    <fb>54.35</fb>
    <v>1</v>
  </rv>
  <rv s="0">
    <fb>46034</fb>
    <v>0</v>
  </rv>
  <rv s="0">
    <fb>184.94</fb>
    <v>1</v>
  </rv>
  <rv s="0">
    <fb>45302</fb>
    <v>0</v>
  </rv>
  <rv s="0">
    <fb>54.822000000000003</fb>
    <v>1</v>
  </rv>
  <rv s="0">
    <fb>46035</fb>
    <v>0</v>
  </rv>
  <rv s="0">
    <fb>185.81</fb>
    <v>1</v>
  </rv>
  <rv s="0">
    <fb>45303</fb>
    <v>0</v>
  </rv>
  <rv s="0">
    <fb>54.71</fb>
    <v>1</v>
  </rv>
  <rv s="0">
    <fb>46036</fb>
    <v>0</v>
  </rv>
  <rv s="0">
    <fb>183.14</fb>
    <v>1</v>
  </rv>
  <rv s="0">
    <fb>45307</fb>
    <v>0</v>
  </rv>
  <rv s="0">
    <fb>56.381999999999998</fb>
    <v>1</v>
  </rv>
  <rv s="0">
    <fb>46037</fb>
    <v>0</v>
  </rv>
  <rv s="0">
    <fb>187.05</fb>
    <v>1</v>
  </rv>
  <rv s="0">
    <fb>45308</fb>
    <v>0</v>
  </rv>
  <rv s="0">
    <fb>56.052999999999997</fb>
    <v>1</v>
  </rv>
  <rv s="0">
    <fb>46038</fb>
    <v>0</v>
  </rv>
  <rv s="0">
    <fb>186.23</fb>
    <v>1</v>
  </rv>
  <rv s="0">
    <fb>45309</fb>
    <v>0</v>
  </rv>
  <rv s="0">
    <fb>57.106999999999999</fb>
    <v>1</v>
  </rv>
  <rv s="0">
    <fb>45310</fb>
    <v>0</v>
  </rv>
  <rv s="0">
    <fb>59.491</fb>
    <v>1</v>
  </rv>
  <rv s="0">
    <fb>45313</fb>
    <v>0</v>
  </rv>
  <rv s="0">
    <fb>59.654000000000003</fb>
    <v>1</v>
  </rv>
  <rv s="0">
    <fb>45314</fb>
    <v>0</v>
  </rv>
  <rv s="0">
    <fb>59.872999999999998</fb>
    <v>1</v>
  </rv>
  <rv s="0">
    <fb>45315</fb>
    <v>0</v>
  </rv>
  <rv s="0">
    <fb>61.362000000000002</fb>
    <v>1</v>
  </rv>
  <rv s="0">
    <fb>45316</fb>
    <v>0</v>
  </rv>
  <rv s="0">
    <fb>61.616999999999997</fb>
    <v>1</v>
  </rv>
  <rv s="0">
    <fb>45317</fb>
    <v>0</v>
  </rv>
  <rv s="0">
    <fb>61.030999999999999</fb>
    <v>1</v>
  </rv>
  <rv s="0">
    <fb>45320</fb>
    <v>0</v>
  </rv>
  <rv s="0">
    <fb>62.465000000000003</fb>
    <v>1</v>
  </rv>
  <rv s="0">
    <fb>45321</fb>
    <v>0</v>
  </rv>
  <rv s="0">
    <fb>62.774000000000001</fb>
    <v>1</v>
  </rv>
  <rv s="0">
    <fb>45322</fb>
    <v>0</v>
  </rv>
  <rv s="0">
    <fb>61.527000000000001</fb>
    <v>1</v>
  </rv>
  <rv s="0">
    <fb>45323</fb>
    <v>0</v>
  </rv>
  <rv s="0">
    <fb>63.027000000000001</fb>
    <v>1</v>
  </rv>
  <rv s="0">
    <fb>45324</fb>
    <v>0</v>
  </rv>
  <rv s="0">
    <fb>66.16</fb>
    <v>1</v>
  </rv>
  <rv s="0">
    <fb>45327</fb>
    <v>0</v>
  </rv>
  <rv s="0">
    <fb>69.331999999999994</fb>
    <v>1</v>
  </rv>
  <rv s="0">
    <fb>45328</fb>
    <v>0</v>
  </rv>
  <rv s="0">
    <fb>68.222999999999999</fb>
    <v>1</v>
  </rv>
  <rv s="0">
    <fb>45329</fb>
    <v>0</v>
  </rv>
  <rv s="0">
    <fb>70.099000000000004</fb>
    <v>1</v>
  </rv>
  <rv s="0">
    <fb>45330</fb>
    <v>0</v>
  </rv>
  <rv s="0">
    <fb>69.641000000000005</fb>
    <v>1</v>
  </rv>
  <rv s="0">
    <fb>45331</fb>
    <v>0</v>
  </rv>
  <rv s="0">
    <fb>72.132999999999996</fb>
    <v>1</v>
  </rv>
  <rv s="0">
    <fb>45334</fb>
    <v>0</v>
  </rv>
  <rv s="0">
    <fb>72.248000000000005</fb>
    <v>1</v>
  </rv>
  <rv s="0">
    <fb>45335</fb>
    <v>0</v>
  </rv>
  <rv s="0">
    <fb>72.128</fb>
    <v>1</v>
  </rv>
  <rv s="0">
    <fb>45336</fb>
    <v>0</v>
  </rv>
  <rv s="0">
    <fb>73.900000000000006</fb>
    <v>1</v>
  </rv>
  <rv s="0">
    <fb>45337</fb>
    <v>0</v>
  </rv>
  <rv s="0">
    <fb>72.658000000000001</fb>
    <v>1</v>
  </rv>
  <rv s="0">
    <fb>45338</fb>
    <v>0</v>
  </rv>
  <rv s="0">
    <fb>72.613</fb>
    <v>1</v>
  </rv>
  <rv s="0">
    <fb>45342</fb>
    <v>0</v>
  </rv>
  <rv s="0">
    <fb>69.451999999999998</fb>
    <v>1</v>
  </rv>
  <rv s="0">
    <fb>45343</fb>
    <v>0</v>
  </rv>
  <rv s="0">
    <fb>67.471999999999994</fb>
    <v>1</v>
  </rv>
  <rv s="0">
    <fb>45344</fb>
    <v>0</v>
  </rv>
  <rv s="0">
    <fb>78.537999999999997</fb>
    <v>1</v>
  </rv>
  <rv s="0">
    <fb>45345</fb>
    <v>0</v>
  </rv>
  <rv s="0">
    <fb>78.816999999999993</fb>
    <v>1</v>
  </rv>
  <rv s="0">
    <fb>45348</fb>
    <v>0</v>
  </rv>
  <rv s="0">
    <fb>79.091999999999999</fb>
    <v>1</v>
  </rv>
  <rv s="0">
    <fb>45349</fb>
    <v>0</v>
  </rv>
  <rv s="0">
    <fb>78.700999999999993</fb>
    <v>1</v>
  </rv>
  <rv s="0">
    <fb>45350</fb>
    <v>0</v>
  </rv>
  <rv s="0">
    <fb>77.662999999999997</fb>
    <v>1</v>
  </rv>
  <rv s="0">
    <fb>45351</fb>
    <v>0</v>
  </rv>
  <rv s="0">
    <fb>79.111999999999995</fb>
    <v>1</v>
  </rv>
  <rv s="0">
    <fb>45352</fb>
    <v>0</v>
  </rv>
  <rv s="0">
    <fb>82.278999999999996</fb>
    <v>1</v>
  </rv>
  <rv s="0">
    <fb>45355</fb>
    <v>0</v>
  </rv>
  <rv s="0">
    <fb>85.236999999999995</fb>
    <v>1</v>
  </rv>
  <rv s="0">
    <fb>45356</fb>
    <v>0</v>
  </rv>
  <rv s="0">
    <fb>85.963999999999999</fb>
    <v>1</v>
  </rv>
  <rv s="0">
    <fb>45357</fb>
    <v>0</v>
  </rv>
  <rv s="0">
    <fb>88.7</fb>
    <v>1</v>
  </rv>
  <rv s="0">
    <fb>45358</fb>
    <v>0</v>
  </rv>
  <rv s="0">
    <fb>92.668999999999997</fb>
    <v>1</v>
  </rv>
  <rv s="0">
    <fb>45359</fb>
    <v>0</v>
  </rv>
  <rv s="0">
    <fb>87.528000000000006</fb>
    <v>1</v>
  </rv>
  <rv s="0">
    <fb>45362</fb>
    <v>0</v>
  </rv>
  <rv s="0">
    <fb>85.774000000000001</fb>
    <v>1</v>
  </rv>
  <rv s="0">
    <fb>45363</fb>
    <v>0</v>
  </rv>
  <rv s="0">
    <fb>91.912999999999997</fb>
    <v>1</v>
  </rv>
  <rv s="0">
    <fb>45364</fb>
    <v>0</v>
  </rv>
  <rv s="0">
    <fb>90.888000000000005</fb>
    <v>1</v>
  </rv>
  <rv s="0">
    <fb>45365</fb>
    <v>0</v>
  </rv>
  <rv s="0">
    <fb>87.944000000000003</fb>
    <v>1</v>
  </rv>
  <rv s="0">
    <fb>45366</fb>
    <v>0</v>
  </rv>
  <rv s="0">
    <fb>87.836500000000001</fb>
    <v>1</v>
  </rv>
  <rv s="0">
    <fb>45369</fb>
    <v>0</v>
  </rv>
  <rv s="0">
    <fb>88.454999999999998</fb>
    <v>1</v>
  </rv>
  <rv s="0">
    <fb>45370</fb>
    <v>0</v>
  </rv>
  <rv s="0">
    <fb>89.397999999999996</fb>
    <v>1</v>
  </rv>
  <rv s="0">
    <fb>45371</fb>
    <v>0</v>
  </rv>
  <rv s="0">
    <fb>90.372</fb>
    <v>1</v>
  </rv>
  <rv s="0">
    <fb>45372</fb>
    <v>0</v>
  </rv>
  <rv s="0">
    <fb>91.435000000000002</fb>
    <v>1</v>
  </rv>
  <rv s="0">
    <fb>45373</fb>
    <v>0</v>
  </rv>
  <rv s="0">
    <fb>94.289000000000001</fb>
    <v>1</v>
  </rv>
  <rv s="0">
    <fb>45376</fb>
    <v>0</v>
  </rv>
  <rv s="0">
    <fb>95.001999999999995</fb>
    <v>1</v>
  </rv>
  <rv s="0">
    <fb>45377</fb>
    <v>0</v>
  </rv>
  <rv s="0">
    <fb>92.561000000000007</fb>
    <v>1</v>
  </rv>
  <rv s="0">
    <fb>45378</fb>
    <v>0</v>
  </rv>
  <rv s="0">
    <fb>90.25</fb>
    <v>1</v>
  </rv>
  <rv s="0">
    <fb>45379</fb>
    <v>0</v>
  </rv>
  <rv s="0">
    <fb>90.355999999999995</fb>
    <v>1</v>
  </rv>
  <rv s="0">
    <fb>45383</fb>
    <v>0</v>
  </rv>
  <rv s="0">
    <fb>90.363</fb>
    <v>1</v>
  </rv>
  <rv s="0">
    <fb>45384</fb>
    <v>0</v>
  </rv>
  <rv s="0">
    <fb>89.451999999999998</fb>
    <v>1</v>
  </rv>
  <rv s="0">
    <fb>45385</fb>
    <v>0</v>
  </rv>
  <rv s="0">
    <fb>88.963999999999999</fb>
    <v>1</v>
  </rv>
  <rv s="0">
    <fb>45386</fb>
    <v>0</v>
  </rv>
  <rv s="0">
    <fb>85.905000000000001</fb>
    <v>1</v>
  </rv>
  <rv s="0">
    <fb>45387</fb>
    <v>0</v>
  </rv>
  <rv s="0">
    <fb>88.007999999999996</fb>
    <v>1</v>
  </rv>
  <rv s="0">
    <fb>45390</fb>
    <v>0</v>
  </rv>
  <rv s="0">
    <fb>87.132999999999996</fb>
    <v>1</v>
  </rv>
  <rv s="0">
    <fb>45391</fb>
    <v>0</v>
  </rv>
  <rv s="0">
    <fb>85.353999999999999</fb>
    <v>1</v>
  </rv>
  <rv s="0">
    <fb>45392</fb>
    <v>0</v>
  </rv>
  <rv s="0">
    <fb>87.039000000000001</fb>
    <v>1</v>
  </rv>
  <rv s="0">
    <fb>45393</fb>
    <v>0</v>
  </rv>
  <rv s="0">
    <fb>90.616</fb>
    <v>1</v>
  </rv>
  <rv s="0">
    <fb>45394</fb>
    <v>0</v>
  </rv>
  <rv s="0">
    <fb>88.186000000000007</fb>
    <v>1</v>
  </rv>
  <rv s="0">
    <fb>45397</fb>
    <v>0</v>
  </rv>
  <rv s="0">
    <fb>86.001000000000005</fb>
    <v>1</v>
  </rv>
  <rv s="0">
    <fb>45398</fb>
    <v>0</v>
  </rv>
  <rv s="0">
    <fb>87.415000000000006</fb>
    <v>1</v>
  </rv>
  <rv s="0">
    <fb>45399</fb>
    <v>0</v>
  </rv>
  <rv s="0">
    <fb>84.034999999999997</fb>
    <v>1</v>
  </rv>
  <rv s="0">
    <fb>45400</fb>
    <v>0</v>
  </rv>
  <rv s="0">
    <fb>84.671000000000006</fb>
    <v>1</v>
  </rv>
  <rv s="0">
    <fb>45401</fb>
    <v>0</v>
  </rv>
  <rv s="0">
    <fb>76.2</fb>
    <v>1</v>
  </rv>
  <rv s="0">
    <fb>45404</fb>
    <v>0</v>
  </rv>
  <rv s="0">
    <fb>79.518000000000001</fb>
    <v>1</v>
  </rv>
  <rv s="0">
    <fb>45405</fb>
    <v>0</v>
  </rv>
  <rv s="0">
    <fb>82.423000000000002</fb>
    <v>1</v>
  </rv>
  <rv s="0">
    <fb>45406</fb>
    <v>0</v>
  </rv>
  <rv s="0">
    <fb>79.677000000000007</fb>
    <v>1</v>
  </rv>
  <rv s="0">
    <fb>45407</fb>
    <v>0</v>
  </rv>
  <rv s="0">
    <fb>82.632000000000005</fb>
    <v>1</v>
  </rv>
  <rv s="0">
    <fb>45408</fb>
    <v>0</v>
  </rv>
  <rv s="0">
    <fb>87.734999999999999</fb>
    <v>1</v>
  </rv>
  <rv s="0">
    <fb>45411</fb>
    <v>0</v>
  </rv>
  <rv s="0">
    <fb>87.757000000000005</fb>
    <v>1</v>
  </rv>
  <rv s="0">
    <fb>45412</fb>
    <v>0</v>
  </rv>
  <rv s="0">
    <fb>86.402000000000001</fb>
    <v>1</v>
  </rv>
  <rv s="0">
    <fb>45413</fb>
    <v>0</v>
  </rv>
  <rv s="0">
    <fb>83.040999999999997</fb>
    <v>1</v>
  </rv>
  <rv s="0">
    <fb>45414</fb>
    <v>0</v>
  </rv>
  <rv s="0">
    <fb>85.816999999999993</fb>
    <v>1</v>
  </rv>
  <rv s="0">
    <fb>45415</fb>
    <v>0</v>
  </rv>
  <rv s="0">
    <fb>88.789000000000001</fb>
    <v>1</v>
  </rv>
  <rv s="0">
    <fb>45418</fb>
    <v>0</v>
  </rv>
  <rv s="0">
    <fb>92.14</fb>
    <v>1</v>
  </rv>
  <rv s="0">
    <fb>45419</fb>
    <v>0</v>
  </rv>
  <rv s="0">
    <fb>90.554000000000002</fb>
    <v>1</v>
  </rv>
  <rv s="0">
    <fb>45420</fb>
    <v>0</v>
  </rv>
  <rv s="0">
    <fb>90.412000000000006</fb>
    <v>1</v>
  </rv>
  <rv s="0">
    <fb>45421</fb>
    <v>0</v>
  </rv>
  <rv s="0">
    <fb>88.747</fb>
    <v>1</v>
  </rv>
  <rv s="0">
    <fb>45422</fb>
    <v>0</v>
  </rv>
  <rv s="0">
    <fb>89.878</fb>
    <v>1</v>
  </rv>
  <rv s="0">
    <fb>45425</fb>
    <v>0</v>
  </rv>
  <rv s="0">
    <fb>90.399000000000001</fb>
    <v>1</v>
  </rv>
  <rv s="0">
    <fb>45426</fb>
    <v>0</v>
  </rv>
  <rv s="0">
    <fb>91.355999999999995</fb>
    <v>1</v>
  </rv>
  <rv s="0">
    <fb>45427</fb>
    <v>0</v>
  </rv>
  <rv s="0">
    <fb>94.63</fb>
    <v>1</v>
  </rv>
  <rv s="0">
    <fb>45428</fb>
    <v>0</v>
  </rv>
  <rv s="0">
    <fb>94.358999999999995</fb>
    <v>1</v>
  </rv>
  <rv s="0">
    <fb>45429</fb>
    <v>0</v>
  </rv>
  <rv s="0">
    <fb>92.478999999999999</fb>
    <v>1</v>
  </rv>
  <rv s="0">
    <fb>45432</fb>
    <v>0</v>
  </rv>
  <rv s="0">
    <fb>94.78</fb>
    <v>1</v>
  </rv>
  <rv s="0">
    <fb>45433</fb>
    <v>0</v>
  </rv>
  <rv s="0">
    <fb>95.385999999999996</fb>
    <v>1</v>
  </rv>
  <rv s="0">
    <fb>45434</fb>
    <v>0</v>
  </rv>
  <rv s="0">
    <fb>94.95</fb>
    <v>1</v>
  </rv>
  <rv s="0">
    <fb>45435</fb>
    <v>0</v>
  </rv>
  <rv s="0">
    <fb>103.79900000000001</fb>
    <v>1</v>
  </rv>
  <rv s="0">
    <fb>45436</fb>
    <v>0</v>
  </rv>
  <rv s="0">
    <fb>106.46899999999999</fb>
    <v>1</v>
  </rv>
  <rv s="0">
    <fb>45440</fb>
    <v>0</v>
  </rv>
  <rv s="0">
    <fb>113.901</fb>
    <v>1</v>
  </rv>
  <rv s="0">
    <fb>45441</fb>
    <v>0</v>
  </rv>
  <rv s="0">
    <fb>114.825</fb>
    <v>1</v>
  </rv>
  <rv s="0">
    <fb>45442</fb>
    <v>0</v>
  </rv>
  <rv s="0">
    <fb>110.5</fb>
    <v>1</v>
  </rv>
  <rv s="0">
    <fb>45443</fb>
    <v>0</v>
  </rv>
  <rv s="0">
    <fb>109.633</fb>
    <v>1</v>
  </rv>
  <rv s="0">
    <fb>45446</fb>
    <v>0</v>
  </rv>
  <rv s="0">
    <fb>115</fb>
    <v>1</v>
  </rv>
  <rv s="0">
    <fb>45447</fb>
    <v>0</v>
  </rv>
  <rv s="0">
    <fb>116.437</fb>
    <v>1</v>
  </rv>
  <rv s="0">
    <fb>45448</fb>
    <v>0</v>
  </rv>
  <rv s="0">
    <fb>122.44</fb>
    <v>1</v>
  </rv>
  <rv s="0">
    <fb>45449</fb>
    <v>0</v>
  </rv>
  <rv s="0">
    <fb>120.998</fb>
    <v>1</v>
  </rv>
  <rv s="0">
    <fb>45450</fb>
    <v>0</v>
  </rv>
  <rv s="0">
    <fb>120.88800000000001</fb>
    <v>1</v>
  </rv>
  <rv s="0">
    <fb>45453</fb>
    <v>0</v>
  </rv>
  <rv s="0">
    <fb>121.79</fb>
    <v>1</v>
  </rv>
  <rv s="0">
    <fb>45454</fb>
    <v>0</v>
  </rv>
  <rv s="0">
    <fb>120.91</fb>
    <v>1</v>
  </rv>
  <rv s="0">
    <fb>45455</fb>
    <v>0</v>
  </rv>
  <rv s="0">
    <fb>125.2</fb>
    <v>1</v>
  </rv>
  <rv s="0">
    <fb>45456</fb>
    <v>0</v>
  </rv>
  <rv s="0">
    <fb>129.61000000000001</fb>
    <v>1</v>
  </rv>
  <rv s="0">
    <fb>45457</fb>
    <v>0</v>
  </rv>
  <rv s="0">
    <fb>131.88</fb>
    <v>1</v>
  </rv>
  <rv s="0">
    <fb>45460</fb>
    <v>0</v>
  </rv>
  <rv s="0">
    <fb>130.97999999999999</fb>
    <v>1</v>
  </rv>
  <rv s="0">
    <fb>45461</fb>
    <v>0</v>
  </rv>
  <rv s="0">
    <fb>135.58000000000001</fb>
    <v>1</v>
  </rv>
  <rv s="0">
    <fb>45463</fb>
    <v>0</v>
  </rv>
  <rv s="0">
    <fb>130.78</fb>
    <v>1</v>
  </rv>
  <rv s="0">
    <fb>45464</fb>
    <v>0</v>
  </rv>
  <rv s="0">
    <fb>126.57</fb>
    <v>1</v>
  </rv>
  <rv s="0">
    <fb>45467</fb>
    <v>0</v>
  </rv>
  <rv s="0">
    <fb>118.11</fb>
    <v>1</v>
  </rv>
  <rv s="0">
    <fb>45468</fb>
    <v>0</v>
  </rv>
  <rv s="0">
    <fb>126.09</fb>
    <v>1</v>
  </rv>
  <rv s="0">
    <fb>45469</fb>
    <v>0</v>
  </rv>
  <rv s="0">
    <fb>126.4</fb>
    <v>1</v>
  </rv>
  <rv s="0">
    <fb>45470</fb>
    <v>0</v>
  </rv>
  <rv s="0">
    <fb>123.99</fb>
    <v>1</v>
  </rv>
  <rv s="0">
    <fb>45471</fb>
    <v>0</v>
  </rv>
  <rv s="0">
    <fb>123.54</fb>
    <v>1</v>
  </rv>
  <rv s="0">
    <fb>45474</fb>
    <v>0</v>
  </rv>
  <rv s="0">
    <fb>124.3</fb>
    <v>1</v>
  </rv>
  <rv s="0">
    <fb>45475</fb>
    <v>0</v>
  </rv>
  <rv s="0">
    <fb>122.67</fb>
    <v>1</v>
  </rv>
  <rv s="0">
    <fb>45476</fb>
    <v>0</v>
  </rv>
  <rv s="0">
    <fb>128.28</fb>
    <v>1</v>
  </rv>
  <rv s="0">
    <fb>45478</fb>
    <v>0</v>
  </rv>
  <rv s="0">
    <fb>125.83</fb>
    <v>1</v>
  </rv>
  <rv s="0">
    <fb>45481</fb>
    <v>0</v>
  </rv>
  <rv s="0">
    <fb>128.19999999999999</fb>
    <v>1</v>
  </rv>
  <rv s="0">
    <fb>45482</fb>
    <v>0</v>
  </rv>
  <rv s="0">
    <fb>131.38</fb>
    <v>1</v>
  </rv>
  <rv s="0">
    <fb>45483</fb>
    <v>0</v>
  </rv>
  <rv s="0">
    <fb>134.91</fb>
    <v>1</v>
  </rv>
  <rv s="0">
    <fb>45484</fb>
    <v>0</v>
  </rv>
  <rv s="0">
    <fb>127.4</fb>
    <v>1</v>
  </rv>
  <rv s="0">
    <fb>45485</fb>
    <v>0</v>
  </rv>
  <rv s="0">
    <fb>129.24</fb>
    <v>1</v>
  </rv>
  <rv s="0">
    <fb>45488</fb>
    <v>0</v>
  </rv>
  <rv s="0">
    <fb>128.44</fb>
    <v>1</v>
  </rv>
  <rv s="0">
    <fb>45489</fb>
    <v>0</v>
  </rv>
  <rv s="0">
    <fb>126.36</fb>
    <v>1</v>
  </rv>
  <rv s="0">
    <fb>45490</fb>
    <v>0</v>
  </rv>
  <rv s="0">
    <fb>117.99</fb>
    <v>1</v>
  </rv>
  <rv s="0">
    <fb>45491</fb>
    <v>0</v>
  </rv>
  <rv s="0">
    <fb>121.09</fb>
    <v>1</v>
  </rv>
  <rv s="0">
    <fb>45492</fb>
    <v>0</v>
  </rv>
  <rv s="0">
    <fb>117.93</fb>
    <v>1</v>
  </rv>
  <rv s="0">
    <fb>45495</fb>
    <v>0</v>
  </rv>
  <rv s="0">
    <fb>45496</fb>
    <v>0</v>
  </rv>
  <rv s="0">
    <fb>122.59</fb>
    <v>1</v>
  </rv>
  <rv s="0">
    <fb>45497</fb>
    <v>0</v>
  </rv>
  <rv s="0">
    <fb>114.25</fb>
    <v>1</v>
  </rv>
  <rv s="0">
    <fb>45498</fb>
    <v>0</v>
  </rv>
  <rv s="0">
    <fb>112.28</fb>
    <v>1</v>
  </rv>
  <rv s="0">
    <fb>45499</fb>
    <v>0</v>
  </rv>
  <rv s="0">
    <fb>113.06</fb>
    <v>1</v>
  </rv>
  <rv s="0">
    <fb>45502</fb>
    <v>0</v>
  </rv>
  <rv s="0">
    <fb>111.59</fb>
    <v>1</v>
  </rv>
  <rv s="0">
    <fb>45503</fb>
    <v>0</v>
  </rv>
  <rv s="0">
    <fb>103.73</fb>
    <v>1</v>
  </rv>
  <rv s="0">
    <fb>45504</fb>
    <v>0</v>
  </rv>
  <rv s="0">
    <fb>117.02</fb>
    <v>1</v>
  </rv>
  <rv s="0">
    <fb>45505</fb>
    <v>0</v>
  </rv>
  <rv s="0">
    <fb>109.21</fb>
    <v>1</v>
  </rv>
  <rv s="0">
    <fb>45506</fb>
    <v>0</v>
  </rv>
  <rv s="0">
    <fb>107.27</fb>
    <v>1</v>
  </rv>
  <rv s="0">
    <fb>45509</fb>
    <v>0</v>
  </rv>
  <rv s="0">
    <fb>100.45</fb>
    <v>1</v>
  </rv>
  <rv s="0">
    <fb>45510</fb>
    <v>0</v>
  </rv>
  <rv s="0">
    <fb>104.25</fb>
    <v>1</v>
  </rv>
  <rv s="0">
    <fb>45511</fb>
    <v>0</v>
  </rv>
  <rv s="0">
    <fb>98.91</fb>
    <v>1</v>
  </rv>
  <rv s="0">
    <fb>45512</fb>
    <v>0</v>
  </rv>
  <rv s="0">
    <fb>104.97</fb>
    <v>1</v>
  </rv>
  <rv s="0">
    <fb>45513</fb>
    <v>0</v>
  </rv>
  <rv s="0">
    <fb>104.75</fb>
    <v>1</v>
  </rv>
  <rv s="0">
    <fb>45516</fb>
    <v>0</v>
  </rv>
  <rv s="0">
    <fb>109.02</fb>
    <v>1</v>
  </rv>
  <rv s="0">
    <fb>45517</fb>
    <v>0</v>
  </rv>
  <rv s="0">
    <fb>116.14</fb>
    <v>1</v>
  </rv>
  <rv s="0">
    <fb>45518</fb>
    <v>0</v>
  </rv>
  <rv s="0">
    <fb>118.08</fb>
    <v>1</v>
  </rv>
  <rv s="0">
    <fb>45519</fb>
    <v>0</v>
  </rv>
  <rv s="0">
    <fb>122.86</fb>
    <v>1</v>
  </rv>
  <rv s="0">
    <fb>45520</fb>
    <v>0</v>
  </rv>
  <rv s="0">
    <fb>124.58</fb>
    <v>1</v>
  </rv>
  <rv s="0">
    <fb>45523</fb>
    <v>0</v>
  </rv>
  <rv s="0">
    <fb>130</fb>
    <v>1</v>
  </rv>
  <rv s="0">
    <fb>45524</fb>
    <v>0</v>
  </rv>
  <rv s="0">
    <fb>127.25</fb>
    <v>1</v>
  </rv>
  <rv s="0">
    <fb>45525</fb>
    <v>0</v>
  </rv>
  <rv s="0">
    <fb>128.5</fb>
    <v>1</v>
  </rv>
  <rv s="0">
    <fb>45526</fb>
    <v>0</v>
  </rv>
  <rv s="0">
    <fb>123.74</fb>
    <v>1</v>
  </rv>
  <rv s="0">
    <fb>45527</fb>
    <v>0</v>
  </rv>
  <rv s="0">
    <fb>129.37</fb>
    <v>1</v>
  </rv>
  <rv s="0">
    <fb>45530</fb>
    <v>0</v>
  </rv>
  <rv s="0">
    <fb>126.46</fb>
    <v>1</v>
  </rv>
  <rv s="0">
    <fb>45531</fb>
    <v>0</v>
  </rv>
  <rv s="0">
    <fb>128.30000000000001</fb>
    <v>1</v>
  </rv>
  <rv s="0">
    <fb>45532</fb>
    <v>0</v>
  </rv>
  <rv s="0">
    <fb>125.61</fb>
    <v>1</v>
  </rv>
  <rv s="0">
    <fb>45533</fb>
    <v>0</v>
  </rv>
  <rv s="0">
    <fb>117.59</fb>
    <v>1</v>
  </rv>
  <rv s="0">
    <fb>45534</fb>
    <v>0</v>
  </rv>
  <rv s="0">
    <fb>119.37</fb>
    <v>1</v>
  </rv>
  <rv s="0">
    <fb>45538</fb>
    <v>0</v>
  </rv>
  <rv s="0">
    <fb>108</fb>
    <v>1</v>
  </rv>
  <rv s="0">
    <fb>45539</fb>
    <v>0</v>
  </rv>
  <rv s="0">
    <fb>106.21</fb>
    <v>1</v>
  </rv>
  <rv s="0">
    <fb>45540</fb>
    <v>0</v>
  </rv>
  <rv s="0">
    <fb>107.21</fb>
    <v>1</v>
  </rv>
  <rv s="0">
    <fb>45541</fb>
    <v>0</v>
  </rv>
  <rv s="0">
    <fb>102.83</fb>
    <v>1</v>
  </rv>
  <rv s="0">
    <fb>45544</fb>
    <v>0</v>
  </rv>
  <rv s="0">
    <fb>106.47</fb>
    <v>1</v>
  </rv>
  <rv s="0">
    <fb>45545</fb>
    <v>0</v>
  </rv>
  <rv s="0">
    <fb>108.1</fb>
    <v>1</v>
  </rv>
  <rv s="0">
    <fb>45546</fb>
    <v>0</v>
  </rv>
  <rv s="0">
    <fb>116.91</fb>
    <v>1</v>
  </rv>
  <rv s="0">
    <fb>45547</fb>
    <v>0</v>
  </rv>
  <rv s="0">
    <fb>119.14</fb>
    <v>1</v>
  </rv>
  <rv s="0">
    <fb>45548</fb>
    <v>0</v>
  </rv>
  <rv s="0">
    <fb>119.1</fb>
    <v>1</v>
  </rv>
  <rv s="0">
    <fb>45551</fb>
    <v>0</v>
  </rv>
  <rv s="0">
    <fb>116.78</fb>
    <v>1</v>
  </rv>
  <rv s="0">
    <fb>45552</fb>
    <v>0</v>
  </rv>
  <rv s="0">
    <fb>115.59</fb>
    <v>1</v>
  </rv>
  <rv s="0">
    <fb>45553</fb>
    <v>0</v>
  </rv>
  <rv s="0">
    <fb>113.37</fb>
    <v>1</v>
  </rv>
  <rv s="0">
    <fb>45554</fb>
    <v>0</v>
  </rv>
  <rv s="0">
    <fb>117.87</fb>
    <v>1</v>
  </rv>
  <rv s="0">
    <fb>45555</fb>
    <v>0</v>
  </rv>
  <rv s="0">
    <fb>116</fb>
    <v>1</v>
  </rv>
  <rv s="0">
    <fb>45558</fb>
    <v>0</v>
  </rv>
  <rv s="0">
    <fb>116.26</fb>
    <v>1</v>
  </rv>
  <rv s="0">
    <fb>45559</fb>
    <v>0</v>
  </rv>
  <rv s="0">
    <fb>120.87</fb>
    <v>1</v>
  </rv>
  <rv s="0">
    <fb>45560</fb>
    <v>0</v>
  </rv>
  <rv s="0">
    <fb>123.51</fb>
    <v>1</v>
  </rv>
  <rv s="0">
    <fb>45561</fb>
    <v>0</v>
  </rv>
  <rv s="0">
    <fb>124.04</fb>
    <v>1</v>
  </rv>
  <rv s="0">
    <fb>45562</fb>
    <v>0</v>
  </rv>
  <rv s="0">
    <fb>121.4</fb>
    <v>1</v>
  </rv>
  <rv s="0">
    <fb>45565</fb>
    <v>0</v>
  </rv>
  <rv s="0">
    <fb>121.44</fb>
    <v>1</v>
  </rv>
  <rv s="0">
    <fb>45566</fb>
    <v>0</v>
  </rv>
  <rv s="0">
    <fb>117</fb>
    <v>1</v>
  </rv>
  <rv s="0">
    <fb>45567</fb>
    <v>0</v>
  </rv>
  <rv s="0">
    <fb>118.85</fb>
    <v>1</v>
  </rv>
  <rv s="0">
    <fb>45568</fb>
    <v>0</v>
  </rv>
  <rv s="0">
    <fb>122.85</fb>
    <v>1</v>
  </rv>
  <rv s="0">
    <fb>45569</fb>
    <v>0</v>
  </rv>
  <rv s="0">
    <fb>124.92</fb>
    <v>1</v>
  </rv>
  <rv s="0">
    <fb>45572</fb>
    <v>0</v>
  </rv>
  <rv s="0">
    <fb>127.72</fb>
    <v>1</v>
  </rv>
  <rv s="0">
    <fb>45573</fb>
    <v>0</v>
  </rv>
  <rv s="0">
    <fb>132.88999999999999</fb>
    <v>1</v>
  </rv>
  <rv s="0">
    <fb>45574</fb>
    <v>0</v>
  </rv>
  <rv s="0">
    <fb>132.65</fb>
    <v>1</v>
  </rv>
  <rv s="0">
    <fb>45575</fb>
    <v>0</v>
  </rv>
  <rv s="0">
    <fb>134.81</fb>
    <v>1</v>
  </rv>
  <rv s="0">
    <fb>45576</fb>
    <v>0</v>
  </rv>
  <rv s="0">
    <fb>134.80000000000001</fb>
    <v>1</v>
  </rv>
  <rv s="0">
    <fb>45579</fb>
    <v>0</v>
  </rv>
  <rv s="0">
    <fb>138.07</fb>
    <v>1</v>
  </rv>
  <rv s="0">
    <fb>45580</fb>
    <v>0</v>
  </rv>
  <rv s="0">
    <fb>131.6</fb>
    <v>1</v>
  </rv>
  <rv s="0">
    <fb>45581</fb>
    <v>0</v>
  </rv>
  <rv s="0">
    <fb>135.72</fb>
    <v>1</v>
  </rv>
  <rv s="0">
    <fb>45582</fb>
    <v>0</v>
  </rv>
  <rv s="0">
    <fb>136.93</fb>
    <v>1</v>
  </rv>
  <rv s="0">
    <fb>45583</fb>
    <v>0</v>
  </rv>
  <rv s="0">
    <fb>138</fb>
    <v>1</v>
  </rv>
  <rv s="0">
    <fb>45586</fb>
    <v>0</v>
  </rv>
  <rv s="0">
    <fb>143.71</fb>
    <v>1</v>
  </rv>
  <rv s="0">
    <fb>45587</fb>
    <v>0</v>
  </rv>
  <rv s="0">
    <fb>143.59</fb>
    <v>1</v>
  </rv>
  <rv s="0">
    <fb>45588</fb>
    <v>0</v>
  </rv>
  <rv s="0">
    <fb>139.56</fb>
    <v>1</v>
  </rv>
  <rv s="0">
    <fb>45589</fb>
    <v>0</v>
  </rv>
  <rv s="0">
    <fb>140.41</fb>
    <v>1</v>
  </rv>
  <rv s="0">
    <fb>45590</fb>
    <v>0</v>
  </rv>
  <rv s="0">
    <fb>141.54</fb>
    <v>1</v>
  </rv>
  <rv s="0">
    <fb>45593</fb>
    <v>0</v>
  </rv>
  <rv s="0">
    <fb>140.52000000000001</fb>
    <v>1</v>
  </rv>
  <rv s="0">
    <fb>45594</fb>
    <v>0</v>
  </rv>
  <rv s="0">
    <fb>141.25</fb>
    <v>1</v>
  </rv>
  <rv s="0">
    <fb>45595</fb>
    <v>0</v>
  </rv>
  <rv s="0">
    <fb>139.33500000000001</fb>
    <v>1</v>
  </rv>
  <rv s="0">
    <fb>45596</fb>
    <v>0</v>
  </rv>
  <rv s="0">
    <fb>132.76</fb>
    <v>1</v>
  </rv>
  <rv s="0">
    <fb>45597</fb>
    <v>0</v>
  </rv>
  <rv s="0">
    <fb>135.4</fb>
    <v>1</v>
  </rv>
  <rv s="0">
    <fb>45600</fb>
    <v>0</v>
  </rv>
  <rv s="0">
    <fb>136.05000000000001</fb>
    <v>1</v>
  </rv>
  <rv s="0">
    <fb>45601</fb>
    <v>0</v>
  </rv>
  <rv s="0">
    <fb>139.91</fb>
    <v>1</v>
  </rv>
  <rv s="0">
    <fb>45602</fb>
    <v>0</v>
  </rv>
  <rv s="0">
    <fb>145.61000000000001</fb>
    <v>1</v>
  </rv>
  <rv s="0">
    <fb>45603</fb>
    <v>0</v>
  </rv>
  <rv s="0">
    <fb>148.88</fb>
    <v>1</v>
  </rv>
  <rv s="0">
    <fb>45604</fb>
    <v>0</v>
  </rv>
  <rv s="0">
    <fb>147.63</fb>
    <v>1</v>
  </rv>
  <rv s="0">
    <fb>45607</fb>
    <v>0</v>
  </rv>
  <rv s="0">
    <fb>145.26</fb>
    <v>1</v>
  </rv>
  <rv s="0">
    <fb>45608</fb>
    <v>0</v>
  </rv>
  <rv s="0">
    <fb>148.29</fb>
    <v>1</v>
  </rv>
  <rv s="0">
    <fb>45609</fb>
    <v>0</v>
  </rv>
  <rv s="0">
    <fb>146.27000000000001</fb>
    <v>1</v>
  </rv>
  <rv s="0">
    <fb>45610</fb>
    <v>0</v>
  </rv>
  <rv s="0">
    <fb>146.76</fb>
    <v>1</v>
  </rv>
  <rv s="0">
    <fb>45611</fb>
    <v>0</v>
  </rv>
  <rv s="0">
    <fb>141.97999999999999</fb>
    <v>1</v>
  </rv>
  <rv s="0">
    <fb>45614</fb>
    <v>0</v>
  </rv>
  <rv s="0">
    <fb>140.15</fb>
    <v>1</v>
  </rv>
  <rv s="0">
    <fb>45615</fb>
    <v>0</v>
  </rv>
  <rv s="0">
    <fb>147.01</fb>
    <v>1</v>
  </rv>
  <rv s="0">
    <fb>45616</fb>
    <v>0</v>
  </rv>
  <rv s="0">
    <fb>145.88999999999999</fb>
    <v>1</v>
  </rv>
  <rv s="0">
    <fb>45617</fb>
    <v>0</v>
  </rv>
  <rv s="0">
    <fb>146.66999999999999</fb>
    <v>1</v>
  </rv>
  <rv s="0">
    <fb>45618</fb>
    <v>0</v>
  </rv>
  <rv s="0">
    <fb>141.94999999999999</fb>
    <v>1</v>
  </rv>
  <rv s="0">
    <fb>45621</fb>
    <v>0</v>
  </rv>
  <rv s="0">
    <fb>136.02000000000001</fb>
    <v>1</v>
  </rv>
  <rv s="0">
    <fb>45622</fb>
    <v>0</v>
  </rv>
  <rv s="0">
    <fb>136.91999999999999</fb>
    <v>1</v>
  </rv>
  <rv s="0">
    <fb>45623</fb>
    <v>0</v>
  </rv>
  <rv s="0">
    <fb>135.34</fb>
    <v>1</v>
  </rv>
  <rv s="0">
    <fb>45625</fb>
    <v>0</v>
  </rv>
  <rv s="0">
    <fb>138.25</fb>
    <v>1</v>
  </rv>
  <rv s="0">
    <fb>45628</fb>
    <v>0</v>
  </rv>
  <rv s="0">
    <fb>138.63</fb>
    <v>1</v>
  </rv>
  <rv s="0">
    <fb>45629</fb>
    <v>0</v>
  </rv>
  <rv s="0">
    <fb>140.26</fb>
    <v>1</v>
  </rv>
  <rv s="0">
    <fb>45630</fb>
    <v>0</v>
  </rv>
  <rv s="0">
    <fb>145.13999999999999</fb>
    <v>1</v>
  </rv>
  <rv s="0">
    <fb>45631</fb>
    <v>0</v>
  </rv>
  <rv s="0">
    <fb>145.06</fb>
    <v>1</v>
  </rv>
  <rv s="0">
    <fb>45632</fb>
    <v>0</v>
  </rv>
  <rv s="0">
    <fb>142.44</fb>
    <v>1</v>
  </rv>
  <rv s="0">
    <fb>45635</fb>
    <v>0</v>
  </rv>
  <rv s="0">
    <fb>138.81</fb>
    <v>1</v>
  </rv>
  <rv s="0">
    <fb>45636</fb>
    <v>0</v>
  </rv>
  <rv s="0">
    <fb>135.07</fb>
    <v>1</v>
  </rv>
  <rv s="0">
    <fb>45637</fb>
    <v>0</v>
  </rv>
  <rv s="0">
    <fb>139.31</fb>
    <v>1</v>
  </rv>
  <rv s="0">
    <fb>45638</fb>
    <v>0</v>
  </rv>
  <rv s="0">
    <fb>137.34</fb>
    <v>1</v>
  </rv>
  <rv s="0">
    <fb>45639</fb>
    <v>0</v>
  </rv>
  <rv s="0">
    <fb>134.25</fb>
    <v>1</v>
  </rv>
  <rv s="0">
    <fb>45642</fb>
    <v>0</v>
  </rv>
  <rv s="0">
    <fb>132</fb>
    <v>1</v>
  </rv>
  <rv s="0">
    <fb>45643</fb>
    <v>0</v>
  </rv>
  <rv s="0">
    <fb>130.38999999999999</fb>
    <v>1</v>
  </rv>
  <rv s="0">
    <fb>45644</fb>
    <v>0</v>
  </rv>
  <rv s="0">
    <fb>128.91</fb>
    <v>1</v>
  </rv>
  <rv s="0">
    <fb>45645</fb>
    <v>0</v>
  </rv>
  <rv s="0">
    <fb>130.68</fb>
    <v>1</v>
  </rv>
  <rv s="0">
    <fb>45646</fb>
    <v>0</v>
  </rv>
  <rv s="0">
    <fb>134.69999999999999</fb>
    <v>1</v>
  </rv>
  <rv s="0">
    <fb>45649</fb>
    <v>0</v>
  </rv>
  <rv s="0">
    <fb>139.66999999999999</fb>
    <v>1</v>
  </rv>
  <rv s="0">
    <fb>45650</fb>
    <v>0</v>
  </rv>
  <rv s="0">
    <fb>140.22</fb>
    <v>1</v>
  </rv>
  <rv s="0">
    <fb>45652</fb>
    <v>0</v>
  </rv>
  <rv s="0">
    <fb>139.93</fb>
    <v>1</v>
  </rv>
  <rv s="0">
    <fb>45653</fb>
    <v>0</v>
  </rv>
  <rv s="0">
    <fb>137.01</fb>
    <v>1</v>
  </rv>
  <rv s="0">
    <fb>45656</fb>
    <v>0</v>
  </rv>
  <rv s="0">
    <fb>137.49</fb>
    <v>1</v>
  </rv>
  <rv s="0">
    <fb>45657</fb>
    <v>0</v>
  </rv>
  <rv s="0">
    <fb>134.29</fb>
    <v>1</v>
  </rv>
  <rv s="0">
    <fb>45659</fb>
    <v>0</v>
  </rv>
  <rv s="0">
    <fb>138.31</fb>
    <v>1</v>
  </rv>
  <rv s="0">
    <fb>45660</fb>
    <v>0</v>
  </rv>
  <rv s="0">
    <fb>144.47</fb>
    <v>1</v>
  </rv>
  <rv s="0">
    <fb>45663</fb>
    <v>0</v>
  </rv>
  <rv s="0">
    <fb>149.43</fb>
    <v>1</v>
  </rv>
  <rv s="0">
    <fb>45664</fb>
    <v>0</v>
  </rv>
  <rv s="0">
    <fb>140.13999999999999</fb>
    <v>1</v>
  </rv>
  <rv s="0">
    <fb>45665</fb>
    <v>0</v>
  </rv>
  <rv s="0">
    <fb>140.11000000000001</fb>
    <v>1</v>
  </rv>
  <rv s="0">
    <fb>45667</fb>
    <v>0</v>
  </rv>
  <rv s="0">
    <fb>135.91</fb>
    <v>1</v>
  </rv>
  <rv s="0">
    <fb>45670</fb>
    <v>0</v>
  </rv>
  <rv s="0">
    <fb>133.22999999999999</fb>
    <v>1</v>
  </rv>
  <rv s="0">
    <fb>45671</fb>
    <v>0</v>
  </rv>
  <rv s="0">
    <fb>131.76</fb>
    <v>1</v>
  </rv>
  <rv s="0">
    <fb>45672</fb>
    <v>0</v>
  </rv>
  <rv s="0">
    <fb>136.24</fb>
    <v>1</v>
  </rv>
  <rv s="0">
    <fb>45673</fb>
    <v>0</v>
  </rv>
  <rv s="0">
    <fb>133.57</fb>
    <v>1</v>
  </rv>
  <rv s="0">
    <fb>45674</fb>
    <v>0</v>
  </rv>
  <rv s="0">
    <fb>137.71</fb>
    <v>1</v>
  </rv>
  <rv s="0">
    <fb>45678</fb>
    <v>0</v>
  </rv>
  <rv s="0">
    <fb>140.83000000000001</fb>
    <v>1</v>
  </rv>
  <rv s="0">
    <fb>45679</fb>
    <v>0</v>
  </rv>
  <rv s="0">
    <fb>147.07</fb>
    <v>1</v>
  </rv>
  <rv s="0">
    <fb>45680</fb>
    <v>0</v>
  </rv>
  <rv s="0">
    <fb>147.22</fb>
    <v>1</v>
  </rv>
  <rv s="0">
    <fb>45681</fb>
    <v>0</v>
  </rv>
  <rv s="0">
    <fb>142.62</fb>
    <v>1</v>
  </rv>
  <rv s="0">
    <fb>45684</fb>
    <v>0</v>
  </rv>
  <rv s="0">
    <fb>118.42</fb>
    <v>1</v>
  </rv>
  <rv s="0">
    <fb>45685</fb>
    <v>0</v>
  </rv>
  <rv s="0">
    <fb>128.99</fb>
    <v>1</v>
  </rv>
  <rv s="0">
    <fb>45686</fb>
    <v>0</v>
  </rv>
  <rv s="0">
    <fb>123.7</fb>
    <v>1</v>
  </rv>
  <rv s="0">
    <fb>45687</fb>
    <v>0</v>
  </rv>
  <rv s="0">
    <fb>124.65</fb>
    <v>1</v>
  </rv>
  <rv s="0">
    <fb>45688</fb>
    <v>0</v>
  </rv>
  <rv s="0">
    <fb>120.07</fb>
    <v>1</v>
  </rv>
  <rv s="0">
    <fb>45691</fb>
    <v>0</v>
  </rv>
  <rv s="0">
    <fb>116.66</fb>
    <v>1</v>
  </rv>
  <rv s="0">
    <fb>45692</fb>
    <v>0</v>
  </rv>
  <rv s="0">
    <fb>118.65</fb>
    <v>1</v>
  </rv>
  <rv s="0">
    <fb>45693</fb>
    <v>0</v>
  </rv>
  <rv s="0">
    <fb>124.83</fb>
    <v>1</v>
  </rv>
  <rv s="0">
    <fb>45694</fb>
    <v>0</v>
  </rv>
  <rv s="0">
    <fb>128.68</fb>
    <v>1</v>
  </rv>
  <rv s="0">
    <fb>45695</fb>
    <v>0</v>
  </rv>
  <rv s="0">
    <fb>129.84</fb>
    <v>1</v>
  </rv>
  <rv s="0">
    <fb>45698</fb>
    <v>0</v>
  </rv>
  <rv s="0">
    <fb>45699</fb>
    <v>0</v>
  </rv>
  <rv s="0">
    <fb>132.80000000000001</fb>
    <v>1</v>
  </rv>
  <rv s="0">
    <fb>45700</fb>
    <v>0</v>
  </rv>
  <rv s="0">
    <fb>131.13999999999999</fb>
    <v>1</v>
  </rv>
  <rv s="0">
    <fb>45701</fb>
    <v>0</v>
  </rv>
  <rv s="0">
    <fb>135.29</fb>
    <v>1</v>
  </rv>
  <rv s="0">
    <fb>45702</fb>
    <v>0</v>
  </rv>
  <rv s="0">
    <fb>138.85</fb>
    <v>1</v>
  </rv>
  <rv s="0">
    <fb>45706</fb>
    <v>0</v>
  </rv>
  <rv s="0">
    <fb>139.4</fb>
    <v>1</v>
  </rv>
  <rv s="0">
    <fb>45707</fb>
    <v>0</v>
  </rv>
  <rv s="0">
    <fb>139.22999999999999</fb>
    <v>1</v>
  </rv>
  <rv s="0">
    <fb>45708</fb>
    <v>0</v>
  </rv>
  <rv s="0">
    <fb>45709</fb>
    <v>0</v>
  </rv>
  <rv s="0">
    <fb>134.43</fb>
    <v>1</v>
  </rv>
  <rv s="0">
    <fb>45712</fb>
    <v>0</v>
  </rv>
  <rv s="0">
    <fb>130.28</fb>
    <v>1</v>
  </rv>
  <rv s="0">
    <fb>45713</fb>
    <v>0</v>
  </rv>
  <rv s="0">
    <fb>126.63</fb>
    <v>1</v>
  </rv>
  <rv s="0">
    <fb>45714</fb>
    <v>0</v>
  </rv>
  <rv s="0">
    <fb>131.28</fb>
    <v>1</v>
  </rv>
  <rv s="0">
    <fb>45715</fb>
    <v>0</v>
  </rv>
  <rv s="0">
    <fb>120.15</fb>
    <v>1</v>
  </rv>
  <rv s="0">
    <fb>45716</fb>
    <v>0</v>
  </rv>
  <rv s="0">
    <fb>45719</fb>
    <v>0</v>
  </rv>
  <rv s="0">
    <fb>114.06</fb>
    <v>1</v>
  </rv>
  <rv s="0">
    <fb>45720</fb>
    <v>0</v>
  </rv>
  <rv s="0">
    <fb>115.99</fb>
    <v>1</v>
  </rv>
  <rv s="0">
    <fb>45721</fb>
    <v>0</v>
  </rv>
  <rv s="0">
    <fb>117.3</fb>
    <v>1</v>
  </rv>
  <rv s="0">
    <fb>45722</fb>
    <v>0</v>
  </rv>
  <rv s="0">
    <fb>110.57</fb>
    <v>1</v>
  </rv>
  <rv s="0">
    <fb>45723</fb>
    <v>0</v>
  </rv>
  <rv s="0">
    <fb>112.69</fb>
    <v>1</v>
  </rv>
  <rv s="0">
    <fb>45726</fb>
    <v>0</v>
  </rv>
  <rv s="0">
    <fb>106.98</fb>
    <v>1</v>
  </rv>
  <rv s="0">
    <fb>45727</fb>
    <v>0</v>
  </rv>
  <rv s="0">
    <fb>108.76</fb>
    <v>1</v>
  </rv>
  <rv s="0">
    <fb>45728</fb>
    <v>0</v>
  </rv>
  <rv s="0">
    <fb>115.74</fb>
    <v>1</v>
  </rv>
  <rv s="0">
    <fb>45729</fb>
    <v>0</v>
  </rv>
  <rv s="0">
    <fb>115.58</fb>
    <v>1</v>
  </rv>
  <rv s="0">
    <fb>45730</fb>
    <v>0</v>
  </rv>
  <rv s="0">
    <fb>121.67</fb>
    <v>1</v>
  </rv>
  <rv s="0">
    <fb>45733</fb>
    <v>0</v>
  </rv>
  <rv s="0">
    <fb>119.53</fb>
    <v>1</v>
  </rv>
  <rv s="0">
    <fb>45734</fb>
    <v>0</v>
  </rv>
  <rv s="0">
    <fb>115.43</fb>
    <v>1</v>
  </rv>
  <rv s="0">
    <fb>45735</fb>
    <v>0</v>
  </rv>
  <rv s="0">
    <fb>117.52</fb>
    <v>1</v>
  </rv>
  <rv s="0">
    <fb>45736</fb>
    <v>0</v>
  </rv>
  <rv s="0">
    <fb>118.53</fb>
    <v>1</v>
  </rv>
  <rv s="0">
    <fb>45737</fb>
    <v>0</v>
  </rv>
  <rv s="0">
    <fb>117.7</fb>
    <v>1</v>
  </rv>
  <rv s="0">
    <fb>45740</fb>
    <v>0</v>
  </rv>
  <rv s="0">
    <fb>121.41</fb>
    <v>1</v>
  </rv>
  <rv s="0">
    <fb>45741</fb>
    <v>0</v>
  </rv>
  <rv s="0">
    <fb>120.69</fb>
    <v>1</v>
  </rv>
  <rv s="0">
    <fb>45742</fb>
    <v>0</v>
  </rv>
  <rv s="0">
    <fb>113.76</fb>
    <v>1</v>
  </rv>
  <rv s="0">
    <fb>45743</fb>
    <v>0</v>
  </rv>
  <rv s="0">
    <fb>111.43</fb>
    <v>1</v>
  </rv>
  <rv s="0">
    <fb>45744</fb>
    <v>0</v>
  </rv>
  <rv s="0">
    <fb>109.67</fb>
    <v>1</v>
  </rv>
  <rv s="0">
    <fb>45747</fb>
    <v>0</v>
  </rv>
  <rv s="0">
    <fb>108.38</fb>
    <v>1</v>
  </rv>
  <rv s="0">
    <fb>45748</fb>
    <v>0</v>
  </rv>
  <rv s="0">
    <fb>110.15</fb>
    <v>1</v>
  </rv>
  <rv s="0">
    <fb>45749</fb>
    <v>0</v>
  </rv>
  <rv s="0">
    <fb>110.42</fb>
    <v>1</v>
  </rv>
  <rv s="0">
    <fb>45750</fb>
    <v>0</v>
  </rv>
  <rv s="0">
    <fb>101.8</fb>
    <v>1</v>
  </rv>
  <rv s="0">
    <fb>45751</fb>
    <v>0</v>
  </rv>
  <rv s="0">
    <fb>94.31</fb>
    <v>1</v>
  </rv>
  <rv s="0">
    <fb>45754</fb>
    <v>0</v>
  </rv>
  <rv s="0">
    <fb>97.64</fb>
    <v>1</v>
  </rv>
  <rv s="0">
    <fb>45755</fb>
    <v>0</v>
  </rv>
  <rv s="0">
    <fb>96.3</fb>
    <v>1</v>
  </rv>
  <rv s="0">
    <fb>45756</fb>
    <v>0</v>
  </rv>
  <rv s="0">
    <fb>114.33</fb>
    <v>1</v>
  </rv>
  <rv s="0">
    <fb>45757</fb>
    <v>0</v>
  </rv>
  <rv s="0">
    <fb>107.57</fb>
    <v>1</v>
  </rv>
  <rv s="0">
    <fb>45758</fb>
    <v>0</v>
  </rv>
  <rv s="0">
    <fb>110.93</fb>
    <v>1</v>
  </rv>
  <rv s="0">
    <fb>45761</fb>
    <v>0</v>
  </rv>
  <rv s="0">
    <fb>110.71</fb>
    <v>1</v>
  </rv>
  <rv s="0">
    <fb>45762</fb>
    <v>0</v>
  </rv>
  <rv s="0">
    <fb>112.2</fb>
    <v>1</v>
  </rv>
  <rv s="0">
    <fb>45763</fb>
    <v>0</v>
  </rv>
  <rv s="0">
    <fb>104.49</fb>
    <v>1</v>
  </rv>
  <rv s="0">
    <fb>45764</fb>
    <v>0</v>
  </rv>
  <rv s="0">
    <fb>101.49</fb>
    <v>1</v>
  </rv>
  <rv s="0">
    <fb>45768</fb>
    <v>0</v>
  </rv>
  <rv s="0">
    <fb>96.91</fb>
    <v>1</v>
  </rv>
  <rv s="0">
    <fb>45769</fb>
    <v>0</v>
  </rv>
  <rv s="0">
    <fb>98.89</fb>
    <v>1</v>
  </rv>
  <rv s="0">
    <fb>45770</fb>
    <v>0</v>
  </rv>
  <rv s="0">
    <fb>102.71</fb>
    <v>1</v>
  </rv>
  <rv s="0">
    <fb>45771</fb>
    <v>0</v>
  </rv>
  <rv s="0">
    <fb>106.43</fb>
    <v>1</v>
  </rv>
  <rv s="0">
    <fb>45772</fb>
    <v>0</v>
  </rv>
  <rv s="0">
    <fb>111.01</fb>
    <v>1</v>
  </rv>
  <rv s="0">
    <fb>45775</fb>
    <v>0</v>
  </rv>
  <rv s="0">
    <fb>108.73</fb>
    <v>1</v>
  </rv>
  <rv s="0">
    <fb>45776</fb>
    <v>0</v>
  </rv>
  <rv s="0">
    <fb>45777</fb>
    <v>0</v>
  </rv>
  <rv s="0">
    <fb>108.92</fb>
    <v>1</v>
  </rv>
  <rv s="0">
    <fb>45778</fb>
    <v>0</v>
  </rv>
  <rv s="0">
    <fb>111.61</fb>
    <v>1</v>
  </rv>
  <rv s="0">
    <fb>45779</fb>
    <v>0</v>
  </rv>
  <rv s="0">
    <fb>114.5</fb>
    <v>1</v>
  </rv>
  <rv s="0">
    <fb>45782</fb>
    <v>0</v>
  </rv>
  <rv s="0">
    <fb>113.82</fb>
    <v>1</v>
  </rv>
  <rv s="0">
    <fb>45783</fb>
    <v>0</v>
  </rv>
  <rv s="0">
    <fb>113.54</fb>
    <v>1</v>
  </rv>
  <rv s="0">
    <fb>45784</fb>
    <v>0</v>
  </rv>
  <rv s="0">
    <fb>117.06</fb>
    <v>1</v>
  </rv>
  <rv s="0">
    <fb>45785</fb>
    <v>0</v>
  </rv>
  <rv s="0">
    <fb>117.37</fb>
    <v>1</v>
  </rv>
  <rv s="0">
    <fb>45786</fb>
    <v>0</v>
  </rv>
  <rv s="0">
    <fb>116.65</fb>
    <v>1</v>
  </rv>
  <rv s="0">
    <fb>45789</fb>
    <v>0</v>
  </rv>
  <rv s="0">
    <fb>123</fb>
    <v>1</v>
  </rv>
  <rv s="0">
    <fb>45790</fb>
    <v>0</v>
  </rv>
  <rv s="0">
    <fb>129.93</fb>
    <v>1</v>
  </rv>
  <rv s="0">
    <fb>45791</fb>
    <v>0</v>
  </rv>
  <rv s="0">
    <fb>45792</fb>
    <v>0</v>
  </rv>
  <rv s="0">
    <fb>134.83000000000001</fb>
    <v>1</v>
  </rv>
  <rv s="0">
    <fb>45793</fb>
    <v>0</v>
  </rv>
  <rv s="0">
    <fb>45796</fb>
    <v>0</v>
  </rv>
  <rv s="0">
    <fb>135.57</fb>
    <v>1</v>
  </rv>
  <rv s="0">
    <fb>45797</fb>
    <v>0</v>
  </rv>
  <rv s="0">
    <fb>134.38</fb>
    <v>1</v>
  </rv>
  <rv s="0">
    <fb>45798</fb>
    <v>0</v>
  </rv>
  <rv s="0">
    <fb>131.80000000000001</fb>
    <v>1</v>
  </rv>
  <rv s="0">
    <fb>45799</fb>
    <v>0</v>
  </rv>
  <rv s="0">
    <fb>132.83000000000001</fb>
    <v>1</v>
  </rv>
  <rv s="0">
    <fb>45800</fb>
    <v>0</v>
  </rv>
  <rv s="0">
    <fb>131.29</fb>
    <v>1</v>
  </rv>
  <rv s="0">
    <fb>45804</fb>
    <v>0</v>
  </rv>
  <rv s="0">
    <fb>135.5</fb>
    <v>1</v>
  </rv>
  <rv s="0">
    <fb>45805</fb>
    <v>0</v>
  </rv>
  <rv s="0">
    <fb>45806</fb>
    <v>0</v>
  </rv>
  <rv s="0">
    <fb>139.19</fb>
    <v>1</v>
  </rv>
  <rv s="0">
    <fb>45807</fb>
    <v>0</v>
  </rv>
  <rv s="0">
    <fb>135.13</fb>
    <v>1</v>
  </rv>
  <rv s="0">
    <fb>45810</fb>
    <v>0</v>
  </rv>
  <rv s="0">
    <fb>137.38</fb>
    <v>1</v>
  </rv>
  <rv s="0">
    <fb>45811</fb>
    <v>0</v>
  </rv>
  <rv s="0">
    <fb>141.22</fb>
    <v>1</v>
  </rv>
  <rv s="0">
    <fb>45812</fb>
    <v>0</v>
  </rv>
  <rv s="0">
    <fb>141.91999999999999</fb>
    <v>1</v>
  </rv>
  <rv s="0">
    <fb>45813</fb>
    <v>0</v>
  </rv>
  <rv s="0">
    <fb>139.99</fb>
    <v>1</v>
  </rv>
  <rv s="0">
    <fb>45814</fb>
    <v>0</v>
  </rv>
  <rv s="0">
    <fb>141.72</fb>
    <v>1</v>
  </rv>
  <rv s="0">
    <fb>45817</fb>
    <v>0</v>
  </rv>
  <rv s="0">
    <fb>142.63</fb>
    <v>1</v>
  </rv>
  <rv s="0">
    <fb>45818</fb>
    <v>0</v>
  </rv>
  <rv s="0">
    <fb>143.96</fb>
    <v>1</v>
  </rv>
  <rv s="0">
    <fb>45819</fb>
    <v>0</v>
  </rv>
  <rv s="0">
    <fb>142.83000000000001</fb>
    <v>1</v>
  </rv>
  <rv s="0">
    <fb>45820</fb>
    <v>0</v>
  </rv>
  <rv s="0">
    <fb>145</fb>
    <v>1</v>
  </rv>
  <rv s="0">
    <fb>45821</fb>
    <v>0</v>
  </rv>
  <rv s="0">
    <fb>141.97</fb>
    <v>1</v>
  </rv>
  <rv s="0">
    <fb>45824</fb>
    <v>0</v>
  </rv>
  <rv s="0">
    <fb>144.69</fb>
    <v>1</v>
  </rv>
  <rv s="0">
    <fb>45825</fb>
    <v>0</v>
  </rv>
  <rv s="0">
    <fb>144.12</fb>
    <v>1</v>
  </rv>
  <rv s="0">
    <fb>45826</fb>
    <v>0</v>
  </rv>
  <rv s="0">
    <fb>145.47999999999999</fb>
    <v>1</v>
  </rv>
  <rv s="0">
    <fb>45828</fb>
    <v>0</v>
  </rv>
  <rv s="0">
    <fb>143.85</fb>
    <v>1</v>
  </rv>
  <rv s="0">
    <fb>45831</fb>
    <v>0</v>
  </rv>
  <rv s="0">
    <fb>144.16999999999999</fb>
    <v>1</v>
  </rv>
  <rv s="0">
    <fb>45832</fb>
    <v>0</v>
  </rv>
  <rv s="0">
    <fb>147.9</fb>
    <v>1</v>
  </rv>
  <rv s="0">
    <fb>45833</fb>
    <v>0</v>
  </rv>
  <rv s="0">
    <fb>154.31</fb>
    <v>1</v>
  </rv>
  <rv s="0">
    <fb>45834</fb>
    <v>0</v>
  </rv>
  <rv s="0">
    <fb>155.02000000000001</fb>
    <v>1</v>
  </rv>
  <rv s="0">
    <fb>45835</fb>
    <v>0</v>
  </rv>
  <rv s="0">
    <fb>157.75</fb>
    <v>1</v>
  </rv>
  <rv s="0">
    <fb>45838</fb>
    <v>0</v>
  </rv>
  <rv s="0">
    <fb>157.99</fb>
    <v>1</v>
  </rv>
  <rv s="0">
    <fb>45839</fb>
    <v>0</v>
  </rv>
  <rv s="0">
    <fb>153.30000000000001</fb>
    <v>1</v>
  </rv>
  <rv s="0">
    <fb>45840</fb>
    <v>0</v>
  </rv>
  <rv s="0">
    <fb>157.25</fb>
    <v>1</v>
  </rv>
  <rv s="0">
    <fb>45841</fb>
    <v>0</v>
  </rv>
  <rv s="0">
    <fb>159.34</fb>
    <v>1</v>
  </rv>
  <rv s="0">
    <fb>45845</fb>
    <v>0</v>
  </rv>
  <rv s="0">
    <fb>158.24</fb>
    <v>1</v>
  </rv>
  <rv s="0">
    <fb>45846</fb>
    <v>0</v>
  </rv>
  <rv s="0">
    <fb>160</fb>
    <v>1</v>
  </rv>
  <rv s="0">
    <fb>45847</fb>
    <v>0</v>
  </rv>
  <rv s="0">
    <fb>162.88</fb>
    <v>1</v>
  </rv>
  <rv s="0">
    <fb>45848</fb>
    <v>0</v>
  </rv>
  <rv s="0">
    <fb>164.1</fb>
    <v>1</v>
  </rv>
  <rv s="0">
    <fb>45849</fb>
    <v>0</v>
  </rv>
  <rv s="0">
    <fb>164.92</fb>
    <v>1</v>
  </rv>
  <rv s="0">
    <fb>45852</fb>
    <v>0</v>
  </rv>
  <rv s="0">
    <fb>164.07</fb>
    <v>1</v>
  </rv>
  <rv s="0">
    <fb>45853</fb>
    <v>0</v>
  </rv>
  <rv s="0">
    <fb>170.7</fb>
    <v>1</v>
  </rv>
  <rv s="0">
    <fb>45854</fb>
    <v>0</v>
  </rv>
  <rv s="0">
    <fb>171.37</fb>
    <v>1</v>
  </rv>
  <rv s="0">
    <fb>45855</fb>
    <v>0</v>
  </rv>
  <rv s="0">
    <fb>173</fb>
    <v>1</v>
  </rv>
  <rv s="0">
    <fb>45856</fb>
    <v>0</v>
  </rv>
  <rv s="0">
    <fb>172.41</fb>
    <v>1</v>
  </rv>
  <rv s="0">
    <fb>45859</fb>
    <v>0</v>
  </rv>
  <rv s="0">
    <fb>171.38</fb>
    <v>1</v>
  </rv>
  <rv s="0">
    <fb>45860</fb>
    <v>0</v>
  </rv>
  <rv s="0">
    <fb>167.03</fb>
    <v>1</v>
  </rv>
  <rv s="0">
    <fb>45861</fb>
    <v>0</v>
  </rv>
  <rv s="0">
    <fb>170.78</fb>
    <v>1</v>
  </rv>
  <rv s="0">
    <fb>45862</fb>
    <v>0</v>
  </rv>
  <rv s="0">
    <fb>173.74</fb>
    <v>1</v>
  </rv>
  <rv s="0">
    <fb>45863</fb>
    <v>0</v>
  </rv>
  <rv s="0">
    <fb>173.5</fb>
    <v>1</v>
  </rv>
  <rv s="0">
    <fb>45866</fb>
    <v>0</v>
  </rv>
  <rv s="0">
    <fb>176.75</fb>
    <v>1</v>
  </rv>
  <rv s="0">
    <fb>45867</fb>
    <v>0</v>
  </rv>
  <rv s="0">
    <fb>175.51</fb>
    <v>1</v>
  </rv>
  <rv s="0">
    <fb>45868</fb>
    <v>0</v>
  </rv>
  <rv s="0">
    <fb>179.27</fb>
    <v>1</v>
  </rv>
  <rv s="0">
    <fb>45869</fb>
    <v>0</v>
  </rv>
  <rv s="0">
    <fb>177.87</fb>
    <v>1</v>
  </rv>
  <rv s="0">
    <fb>45870</fb>
    <v>0</v>
  </rv>
  <rv s="0">
    <fb>173.72</fb>
    <v>1</v>
  </rv>
  <rv s="0">
    <fb>45873</fb>
    <v>0</v>
  </rv>
  <rv s="0">
    <fb>180</fb>
    <v>1</v>
  </rv>
  <rv s="0">
    <fb>45874</fb>
    <v>0</v>
  </rv>
  <rv s="0">
    <fb>178.26</fb>
    <v>1</v>
  </rv>
  <rv s="0">
    <fb>45875</fb>
    <v>0</v>
  </rv>
  <rv s="0">
    <fb>179.42</fb>
    <v>1</v>
  </rv>
  <rv s="0">
    <fb>45876</fb>
    <v>0</v>
  </rv>
  <rv s="0">
    <fb>180.77</fb>
    <v>1</v>
  </rv>
  <rv s="0">
    <fb>45877</fb>
    <v>0</v>
  </rv>
  <rv s="0">
    <fb>182.7</fb>
    <v>1</v>
  </rv>
  <rv s="0">
    <fb>45880</fb>
    <v>0</v>
  </rv>
  <rv s="0">
    <fb>182.06</fb>
    <v>1</v>
  </rv>
  <rv s="0">
    <fb>45881</fb>
    <v>0</v>
  </rv>
  <rv s="0">
    <fb>183.16</fb>
    <v>1</v>
  </rv>
  <rv s="0">
    <fb>45882</fb>
    <v>0</v>
  </rv>
  <rv s="0">
    <fb>181.59</fb>
    <v>1</v>
  </rv>
  <rv s="0">
    <fb>45883</fb>
    <v>0</v>
  </rv>
  <rv s="0">
    <fb>182.02</fb>
    <v>1</v>
  </rv>
  <rv s="0">
    <fb>45884</fb>
    <v>0</v>
  </rv>
  <rv s="0">
    <fb>180.45</fb>
    <v>1</v>
  </rv>
  <rv s="0">
    <fb>45887</fb>
    <v>0</v>
  </rv>
  <rv s="0">
    <fb>182.01</fb>
    <v>1</v>
  </rv>
  <rv s="0">
    <fb>45888</fb>
    <v>0</v>
  </rv>
  <rv s="0">
    <fb>175.64</fb>
    <v>1</v>
  </rv>
  <rv s="0">
    <fb>45889</fb>
    <v>0</v>
  </rv>
  <rv s="0">
    <fb>175.4</fb>
    <v>1</v>
  </rv>
  <rv s="0">
    <fb>45890</fb>
    <v>0</v>
  </rv>
  <rv s="0">
    <fb>174.98</fb>
    <v>1</v>
  </rv>
  <rv s="0">
    <fb>45891</fb>
    <v>0</v>
  </rv>
  <rv s="0">
    <fb>177.99</fb>
    <v>1</v>
  </rv>
  <rv s="0">
    <fb>45894</fb>
    <v>0</v>
  </rv>
  <rv s="0">
    <fb>179.81</fb>
    <v>1</v>
  </rv>
  <rv s="0">
    <fb>45895</fb>
    <v>0</v>
  </rv>
  <rv s="0">
    <fb>181.77</fb>
    <v>1</v>
  </rv>
  <rv s="0">
    <fb>45896</fb>
    <v>0</v>
  </rv>
  <rv s="0">
    <fb>181.6</fb>
    <v>1</v>
  </rv>
  <rv s="0">
    <fb>45897</fb>
    <v>0</v>
  </rv>
  <rv s="0">
    <fb>180.17</fb>
    <v>1</v>
  </rv>
  <rv s="0">
    <fb>45898</fb>
    <v>0</v>
  </rv>
  <rv s="0">
    <fb>174.18</fb>
    <v>1</v>
  </rv>
  <rv s="0">
    <fb>45902</fb>
    <v>0</v>
  </rv>
  <rv s="0">
    <fb>45903</fb>
    <v>0</v>
  </rv>
  <rv s="0">
    <fb>170.62</fb>
    <v>1</v>
  </rv>
  <rv s="0">
    <fb>45904</fb>
    <v>0</v>
  </rv>
  <rv s="0">
    <fb>171.66</fb>
    <v>1</v>
  </rv>
  <rv s="0">
    <fb>45905</fb>
    <v>0</v>
  </rv>
  <rv s="0">
    <fb>167.02</fb>
    <v>1</v>
  </rv>
  <rv s="0">
    <fb>45908</fb>
    <v>0</v>
  </rv>
  <rv s="0">
    <fb>168.31</fb>
    <v>1</v>
  </rv>
  <rv s="0">
    <fb>45909</fb>
    <v>0</v>
  </rv>
  <rv s="0">
    <fb>170.76</fb>
    <v>1</v>
  </rv>
  <rv s="0">
    <fb>45910</fb>
    <v>0</v>
  </rv>
  <rv s="0">
    <fb>177.33</fb>
    <v>1</v>
  </rv>
  <rv s="0">
    <fb>45911</fb>
    <v>0</v>
  </rv>
  <rv s="0">
    <fb>177.17</fb>
    <v>1</v>
  </rv>
  <rv s="0">
    <fb>45912</fb>
    <v>0</v>
  </rv>
  <rv s="0">
    <fb>177.82</fb>
    <v>1</v>
  </rv>
  <rv s="0">
    <fb>45915</fb>
    <v>0</v>
  </rv>
  <rv s="0">
    <fb>177.75</fb>
    <v>1</v>
  </rv>
  <rv s="0">
    <fb>45916</fb>
    <v>0</v>
  </rv>
  <rv s="0">
    <fb>174.88</fb>
    <v>1</v>
  </rv>
  <rv s="0">
    <fb>45917</fb>
    <v>0</v>
  </rv>
  <rv s="0">
    <fb>170.29</fb>
    <v>1</v>
  </rv>
  <rv s="0">
    <fb>45918</fb>
    <v>0</v>
  </rv>
  <rv s="0">
    <fb>176.24</fb>
    <v>1</v>
  </rv>
  <rv s="0">
    <fb>45919</fb>
    <v>0</v>
  </rv>
  <rv s="0">
    <fb>176.67</fb>
    <v>1</v>
  </rv>
  <rv s="0">
    <fb>45922</fb>
    <v>0</v>
  </rv>
  <rv s="0">
    <fb>183.61</fb>
    <v>1</v>
  </rv>
  <rv s="0">
    <fb>45923</fb>
    <v>0</v>
  </rv>
  <rv s="0">
    <fb>178.43</fb>
    <v>1</v>
  </rv>
  <rv s="0">
    <fb>45924</fb>
    <v>0</v>
  </rv>
  <rv s="0">
    <fb>176.97</fb>
    <v>1</v>
  </rv>
  <rv s="0">
    <fb>45925</fb>
    <v>0</v>
  </rv>
  <rv s="0">
    <fb>177.69</fb>
    <v>1</v>
  </rv>
  <rv s="0">
    <fb>45926</fb>
    <v>0</v>
  </rv>
  <rv s="0">
    <fb>178.19</fb>
    <v>1</v>
  </rv>
  <rv s="0">
    <fb>45929</fb>
    <v>0</v>
  </rv>
  <rv s="0">
    <fb>181.85</fb>
    <v>1</v>
  </rv>
  <rv s="0">
    <fb>45930</fb>
    <v>0</v>
  </rv>
  <rv s="0">
    <fb>186.58</fb>
    <v>1</v>
  </rv>
  <rv s="0">
    <fb>45931</fb>
    <v>0</v>
  </rv>
  <rv s="0">
    <fb>45932</fb>
    <v>0</v>
  </rv>
  <rv s="0">
    <fb>188.89</fb>
    <v>1</v>
  </rv>
  <rv s="0">
    <fb>45933</fb>
    <v>0</v>
  </rv>
  <rv s="0">
    <fb>187.62</fb>
    <v>1</v>
  </rv>
  <rv s="0">
    <fb>45936</fb>
    <v>0</v>
  </rv>
  <rv s="0">
    <fb>185.54</fb>
    <v>1</v>
  </rv>
  <rv s="0">
    <fb>45937</fb>
    <v>0</v>
  </rv>
  <rv s="0">
    <fb>45938</fb>
    <v>0</v>
  </rv>
  <rv s="0">
    <fb>45939</fb>
    <v>0</v>
  </rv>
  <rv s="0">
    <fb>192.57</fb>
    <v>1</v>
  </rv>
  <rv s="0">
    <fb>45940</fb>
    <v>0</v>
  </rv>
  <rv s="0">
    <fb>45943</fb>
    <v>0</v>
  </rv>
  <rv s="0">
    <fb>188.32</fb>
    <v>1</v>
  </rv>
  <rv s="0">
    <fb>45944</fb>
    <v>0</v>
  </rv>
  <rv s="0">
    <fb>180.03</fb>
    <v>1</v>
  </rv>
  <rv s="0">
    <fb>45945</fb>
    <v>0</v>
  </rv>
  <rv s="0">
    <fb>179.83</fb>
    <v>1</v>
  </rv>
  <rv s="0">
    <fb>45946</fb>
    <v>0</v>
  </rv>
  <rv s="0">
    <fb>181.81</fb>
    <v>1</v>
  </rv>
  <rv s="0">
    <fb>45947</fb>
    <v>0</v>
  </rv>
  <rv s="0">
    <fb>183.22</fb>
    <v>1</v>
  </rv>
  <rv s="0">
    <fb>45950</fb>
    <v>0</v>
  </rv>
  <rv s="0">
    <fb>182.64</fb>
    <v>1</v>
  </rv>
  <rv s="0">
    <fb>45951</fb>
    <v>0</v>
  </rv>
  <rv s="0">
    <fb>181.16</fb>
    <v>1</v>
  </rv>
  <rv s="0">
    <fb>45952</fb>
    <v>0</v>
  </rv>
  <rv s="0">
    <fb>180.28</fb>
    <v>1</v>
  </rv>
  <rv s="0">
    <fb>45953</fb>
    <v>0</v>
  </rv>
  <rv s="0">
    <fb>182.16</fb>
    <v>1</v>
  </rv>
  <rv s="0">
    <fb>45954</fb>
    <v>0</v>
  </rv>
  <rv s="0">
    <fb>186.26</fb>
    <v>1</v>
  </rv>
  <rv s="0">
    <fb>45957</fb>
    <v>0</v>
  </rv>
  <rv s="0">
    <fb>191.49</fb>
    <v>1</v>
  </rv>
  <rv s="0">
    <fb>45958</fb>
    <v>0</v>
  </rv>
  <rv s="0">
    <fb>201.03</fb>
    <v>1</v>
  </rv>
  <rv s="0">
    <fb>45959</fb>
    <v>0</v>
  </rv>
  <rv s="0">
    <fb>207.04</fb>
    <v>1</v>
  </rv>
  <rv s="0">
    <fb>45960</fb>
    <v>0</v>
  </rv>
  <rv s="0">
    <fb>202.89</fb>
    <v>1</v>
  </rv>
  <rv s="0">
    <fb>45961</fb>
    <v>0</v>
  </rv>
  <rv s="0">
    <fb>202.49</fb>
    <v>1</v>
  </rv>
  <rv s="0">
    <fb>45964</fb>
    <v>0</v>
  </rv>
  <rv s="0">
    <fb>206.88</fb>
    <v>1</v>
  </rv>
  <rv s="0">
    <fb>45965</fb>
    <v>0</v>
  </rv>
  <rv s="0">
    <fb>198.69</fb>
    <v>1</v>
  </rv>
  <rv s="0">
    <fb>45966</fb>
    <v>0</v>
  </rv>
  <rv s="0">
    <fb>195.21</fb>
    <v>1</v>
  </rv>
  <rv s="0">
    <fb>45967</fb>
    <v>0</v>
  </rv>
  <rv s="0">
    <fb>188.08</fb>
    <v>1</v>
  </rv>
  <rv s="0">
    <fb>45968</fb>
    <v>0</v>
  </rv>
  <rv s="0">
    <fb>188.15</fb>
    <v>1</v>
  </rv>
  <rv s="0">
    <fb>45971</fb>
    <v>0</v>
  </rv>
  <rv s="0">
    <fb>199.05</fb>
    <v>1</v>
  </rv>
  <rv s="0">
    <fb>45972</fb>
    <v>0</v>
  </rv>
  <rv s="0">
    <fb>193.16</fb>
    <v>1</v>
  </rv>
  <rv s="0">
    <fb>45973</fb>
    <v>0</v>
  </rv>
  <rv s="0">
    <fb>193.8</fb>
    <v>1</v>
  </rv>
  <rv s="0">
    <fb>45974</fb>
    <v>0</v>
  </rv>
  <rv s="0">
    <fb>186.86</fb>
    <v>1</v>
  </rv>
  <rv s="0">
    <fb>45975</fb>
    <v>0</v>
  </rv>
  <rv s="0">
    <fb>190.17</fb>
    <v>1</v>
  </rv>
  <rv s="0">
    <fb>45978</fb>
    <v>0</v>
  </rv>
  <rv s="0">
    <fb>186.6</fb>
    <v>1</v>
  </rv>
  <rv s="0">
    <fb>45979</fb>
    <v>0</v>
  </rv>
  <rv s="0">
    <fb>181.36</fb>
    <v>1</v>
  </rv>
  <rv s="0">
    <fb>45980</fb>
    <v>0</v>
  </rv>
  <rv s="0">
    <fb>186.52</fb>
    <v>1</v>
  </rv>
  <rv s="0">
    <fb>45981</fb>
    <v>0</v>
  </rv>
  <rv s="0">
    <fb>180.64</fb>
    <v>1</v>
  </rv>
  <rv s="0">
    <fb>45982</fb>
    <v>0</v>
  </rv>
  <rv s="0">
    <fb>178.88</fb>
    <v>1</v>
  </rv>
  <rv s="0">
    <fb>45985</fb>
    <v>0</v>
  </rv>
  <rv s="0">
    <fb>182.55</fb>
    <v>1</v>
  </rv>
  <rv s="0">
    <fb>45986</fb>
    <v>0</v>
  </rv>
  <rv s="0">
    <fb>45987</fb>
    <v>0</v>
  </rv>
  <rv s="0">
    <fb>180.26</fb>
    <v>1</v>
  </rv>
  <rv s="0">
    <fb>45989</fb>
    <v>0</v>
  </rv>
  <rv s="0">
    <fb>177</fb>
    <v>1</v>
  </rv>
  <rv s="0">
    <fb>45992</fb>
    <v>0</v>
  </rv>
  <rv s="0">
    <fb>179.92</fb>
    <v>1</v>
  </rv>
  <rv s="0">
    <fb>45993</fb>
    <v>0</v>
  </rv>
  <rv s="0">
    <fb>181.46</fb>
    <v>1</v>
  </rv>
  <rv s="0">
    <fb>45994</fb>
    <v>0</v>
  </rv>
  <rv s="0">
    <fb>179.59</fb>
    <v>1</v>
  </rv>
  <rv s="0">
    <fb>45995</fb>
    <v>0</v>
  </rv>
  <rv s="0">
    <fb>183.38</fb>
    <v>1</v>
  </rv>
  <rv s="0">
    <fb>45996</fb>
    <v>0</v>
  </rv>
  <rv s="0">
    <fb>182.41</fb>
    <v>1</v>
  </rv>
  <rv s="0">
    <fb>45999</fb>
    <v>0</v>
  </rv>
  <rv s="0">
    <fb>185.55</fb>
    <v>1</v>
  </rv>
  <rv s="0">
    <fb>46000</fb>
    <v>0</v>
  </rv>
  <rv s="0">
    <fb>184.97</fb>
    <v>1</v>
  </rv>
  <rv s="0">
    <fb>46001</fb>
    <v>0</v>
  </rv>
  <rv s="0">
    <fb>183.78</fb>
    <v>1</v>
  </rv>
  <rv s="0">
    <fb>46002</fb>
    <v>0</v>
  </rv>
  <rv s="0">
    <fb>180.93</fb>
    <v>1</v>
  </rv>
  <rv s="0">
    <fb>46003</fb>
    <v>0</v>
  </rv>
  <rv s="0">
    <fb>175.02</fb>
    <v>1</v>
  </rv>
  <rv s="0">
    <fb>46006</fb>
    <v>0</v>
  </rv>
  <rv s="0">
    <fb>176.29</fb>
    <v>1</v>
  </rv>
  <rv s="0">
    <fb>46007</fb>
    <v>0</v>
  </rv>
  <rv s="0">
    <fb>177.72</fb>
    <v>1</v>
  </rv>
  <rv s="0">
    <fb>46008</fb>
    <v>0</v>
  </rv>
  <rv s="0">
    <fb>170.94</fb>
    <v>1</v>
  </rv>
  <rv s="0">
    <fb>46009</fb>
    <v>0</v>
  </rv>
  <rv s="0">
    <fb>174.14</fb>
    <v>1</v>
  </rv>
  <rv s="0">
    <fb>46010</fb>
    <v>0</v>
  </rv>
  <rv s="0">
    <fb>180.99</fb>
    <v>1</v>
  </rv>
  <rv s="0">
    <fb>46013</fb>
    <v>0</v>
  </rv>
  <rv s="0">
    <fb>183.69</fb>
    <v>1</v>
  </rv>
  <rv s="0">
    <fb>46014</fb>
    <v>0</v>
  </rv>
  <rv s="0">
    <fb>189.21</fb>
    <v>1</v>
  </rv>
  <rv s="0">
    <fb>46015</fb>
    <v>0</v>
  </rv>
  <rv s="0">
    <fb>188.61</fb>
    <v>1</v>
  </rv>
  <rv s="0">
    <fb>46017</fb>
    <v>0</v>
  </rv>
  <rv s="0">
    <fb>190.53</fb>
    <v>1</v>
  </rv>
  <rv s="0">
    <fb>46020</fb>
    <v>0</v>
  </rv>
  <rv s="0">
    <fb>188.22</fb>
    <v>1</v>
  </rv>
  <rv s="0">
    <fb>46021</fb>
    <v>0</v>
  </rv>
  <rv s="0">
    <fb>187.54</fb>
    <v>1</v>
  </rv>
  <rv s="0">
    <fb>46022</fb>
    <v>0</v>
  </rv>
  <rv s="0">
    <fb>186.5</fb>
    <v>1</v>
  </rv>
  <rv s="1">
    <v>2</v>
    <v>NVDA</v>
    <v>Daily</v>
    <v>45292</v>
    <v>46023</v>
    <v>0</v>
    <v>1</v>
    <v>639027360000000000,639128616340914570,0</v>
    <v>0</v>
    <v>a1yv52</v>
    <v>XNAS:NVDA</v>
    <v>1</v>
  </rv>
  <rv s="1">
    <v>2</v>
    <v>NVDA</v>
    <v>Daily</v>
    <v>46023</v>
    <v>46038</v>
    <v>0</v>
    <v>1</v>
    <v>639041184000000000,639128616341910599,0</v>
    <v>2</v>
    <v>a1yv52</v>
    <v>XNAS:NVDA</v>
    <v>3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Data count="3">
    <spb s="0">
      <v>1</v>
    </spb>
    <spb s="0">
      <v>2</v>
    </spb>
    <spb s="1">
      <v>1</v>
      <v>2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d/mm/yyyy"/>
    </x:dxf>
    <x:dxf>
      <x:numFmt numFmtId="0" formatCode="General"/>
    </x:dxf>
  </dxfs>
  <richProperties>
    <rPr n="NumberFormat" t="s"/>
  </richProperties>
  <richStyles>
    <rSty dxfid="0"/>
    <rSty dxfid="1">
      <rpv i="0">_([$$-en-US]* #,##0.00_);_([$$-en-US]* (#,##0.00);_([$$-en-US]* "-"??_);_(@_)</rpv>
    </rSty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051B5-E5C8-432D-B8E9-B971EB51979E}">
  <dimension ref="A1:AJ504"/>
  <sheetViews>
    <sheetView tabSelected="1" zoomScale="95" zoomScaleNormal="95" workbookViewId="0">
      <pane ySplit="2" topLeftCell="A26" activePane="bottomLeft" state="frozen"/>
      <selection pane="bottomLeft" activeCell="A2" sqref="A2"/>
    </sheetView>
  </sheetViews>
  <sheetFormatPr defaultRowHeight="14.5" x14ac:dyDescent="0.35"/>
  <cols>
    <col min="1" max="1" width="10.08984375" bestFit="1" customWidth="1"/>
    <col min="2" max="2" width="8.6328125" bestFit="1" customWidth="1"/>
    <col min="3" max="3" width="9.54296875" style="4" bestFit="1" customWidth="1"/>
    <col min="4" max="4" width="10.08984375" style="4" bestFit="1" customWidth="1"/>
    <col min="5" max="5" width="11.453125" style="8" bestFit="1" customWidth="1"/>
    <col min="6" max="6" width="13.54296875" style="8" bestFit="1" customWidth="1"/>
    <col min="7" max="7" width="8.6328125" customWidth="1"/>
    <col min="8" max="8" width="12.453125" bestFit="1" customWidth="1"/>
    <col min="9" max="9" width="10.81640625" bestFit="1" customWidth="1"/>
    <col min="11" max="11" width="10.36328125" bestFit="1" customWidth="1"/>
    <col min="12" max="12" width="8.6328125" bestFit="1" customWidth="1"/>
    <col min="13" max="13" width="7.6328125" customWidth="1"/>
    <col min="14" max="14" width="10.81640625" customWidth="1"/>
    <col min="15" max="15" width="9.7265625" bestFit="1" customWidth="1"/>
    <col min="16" max="16" width="8.90625" bestFit="1" customWidth="1"/>
    <col min="18" max="18" width="10.08984375" bestFit="1" customWidth="1"/>
    <col min="19" max="19" width="8.6328125" bestFit="1" customWidth="1"/>
    <col min="20" max="20" width="8.90625" bestFit="1" customWidth="1"/>
    <col min="22" max="22" width="10.08984375" bestFit="1" customWidth="1"/>
    <col min="23" max="23" width="10.26953125" customWidth="1"/>
    <col min="24" max="24" width="8.90625" bestFit="1" customWidth="1"/>
    <col min="28" max="28" width="8.26953125" bestFit="1" customWidth="1"/>
    <col min="30" max="30" width="8.90625" style="4" bestFit="1" customWidth="1"/>
    <col min="31" max="31" width="9.1796875" customWidth="1"/>
    <col min="33" max="33" width="8.7265625" style="4"/>
    <col min="36" max="36" width="8.7265625" style="4"/>
  </cols>
  <sheetData>
    <row r="1" spans="1:36" x14ac:dyDescent="0.35">
      <c r="A1" s="3" t="s">
        <v>28</v>
      </c>
      <c r="H1" t="s">
        <v>1</v>
      </c>
      <c r="I1" t="s">
        <v>8</v>
      </c>
      <c r="K1" s="22" t="s">
        <v>17</v>
      </c>
      <c r="L1" s="22"/>
      <c r="N1" s="22" t="s">
        <v>18</v>
      </c>
      <c r="O1" s="22"/>
      <c r="P1" s="22"/>
      <c r="R1" s="22" t="s">
        <v>16</v>
      </c>
      <c r="S1" s="22"/>
      <c r="T1" s="22"/>
      <c r="V1" s="22" t="s">
        <v>14</v>
      </c>
      <c r="W1" s="22"/>
      <c r="X1" s="22"/>
      <c r="Z1" s="22" t="s">
        <v>23</v>
      </c>
      <c r="AA1" s="22"/>
      <c r="AC1" s="26" t="s">
        <v>0</v>
      </c>
      <c r="AD1" s="26"/>
      <c r="AF1" s="26" t="s">
        <v>19</v>
      </c>
      <c r="AG1" s="26"/>
      <c r="AI1" s="26" t="s">
        <v>20</v>
      </c>
      <c r="AJ1" s="26"/>
    </row>
    <row r="2" spans="1:36" s="2" customFormat="1" x14ac:dyDescent="0.35">
      <c r="A2" s="2" t="str" cm="1">
        <f t="array" aca="1" ref="A2:B504" ca="1">_xlfn.STOCKHISTORY(A1, DATE(2024,1,1),DATE(2026,1,1),0,1,0,1)</f>
        <v>Date</v>
      </c>
      <c r="B2" s="2" t="str">
        <f ca="1"/>
        <v>Close</v>
      </c>
      <c r="C2" s="5" t="s">
        <v>2</v>
      </c>
      <c r="D2" s="5" t="s">
        <v>3</v>
      </c>
      <c r="E2" s="9" t="s">
        <v>12</v>
      </c>
      <c r="F2" s="9" t="s">
        <v>11</v>
      </c>
      <c r="K2" s="2" t="str" cm="1">
        <f t="array" aca="1" ref="K2:L13" ca="1">_xlfn.STOCKHISTORY(A1, DATE(2026,1,1), DATE(2026,1,16),0,1,0,1)</f>
        <v>Date</v>
      </c>
      <c r="L2" s="2" t="str">
        <f ca="1"/>
        <v>Close</v>
      </c>
      <c r="N2" s="2" t="s">
        <v>4</v>
      </c>
      <c r="O2" s="2" t="s">
        <v>5</v>
      </c>
      <c r="P2" s="2" t="s">
        <v>9</v>
      </c>
      <c r="R2" s="2" t="s">
        <v>4</v>
      </c>
      <c r="S2" s="2" t="s">
        <v>5</v>
      </c>
      <c r="T2" s="2" t="s">
        <v>9</v>
      </c>
      <c r="V2" s="2" t="s">
        <v>4</v>
      </c>
      <c r="W2" s="2" t="s">
        <v>5</v>
      </c>
      <c r="X2" s="2" t="s">
        <v>9</v>
      </c>
      <c r="AC2" s="2" t="s">
        <v>21</v>
      </c>
      <c r="AD2" s="5" t="s">
        <v>22</v>
      </c>
      <c r="AF2" s="2" t="s">
        <v>21</v>
      </c>
      <c r="AG2" s="5" t="s">
        <v>22</v>
      </c>
      <c r="AI2" s="2" t="s">
        <v>21</v>
      </c>
      <c r="AJ2" s="5" t="s">
        <v>22</v>
      </c>
    </row>
    <row r="3" spans="1:36" x14ac:dyDescent="0.35">
      <c r="A3" vm="1">
        <f ca="1"/>
        <v>45293</v>
      </c>
      <c r="B3" vm="2">
        <f ca="1"/>
        <v>48.167999999999999</v>
      </c>
      <c r="C3" s="6">
        <v>0</v>
      </c>
      <c r="D3" s="6">
        <v>0</v>
      </c>
      <c r="E3" s="8">
        <v>0</v>
      </c>
      <c r="F3" s="8">
        <v>0</v>
      </c>
      <c r="H3" s="7" t="s">
        <v>2</v>
      </c>
      <c r="I3" s="4"/>
      <c r="K3" vm="3">
        <f ca="1"/>
        <v>46024</v>
      </c>
      <c r="L3" vm="4">
        <f ca="1"/>
        <v>188.85</v>
      </c>
      <c r="N3" s="1">
        <v>46024</v>
      </c>
      <c r="O3" s="8" vm="4">
        <f ca="1">L3</f>
        <v>188.85</v>
      </c>
      <c r="P3" s="6">
        <v>0</v>
      </c>
      <c r="R3" s="1">
        <v>46024</v>
      </c>
      <c r="S3" s="8" vm="4">
        <f ca="1">L3</f>
        <v>188.85</v>
      </c>
      <c r="T3" s="6">
        <v>0</v>
      </c>
      <c r="V3" s="1">
        <v>46024</v>
      </c>
      <c r="W3" vm="4">
        <f ca="1">L3</f>
        <v>188.85</v>
      </c>
      <c r="X3" s="6">
        <f ca="1">ABS(W3-L3)/L3</f>
        <v>0</v>
      </c>
      <c r="AC3">
        <v>1</v>
      </c>
      <c r="AD3" s="4">
        <f ca="1">P14</f>
        <v>3.9575879654226327E-2</v>
      </c>
      <c r="AF3">
        <v>1</v>
      </c>
      <c r="AG3" s="4">
        <f ca="1">T14</f>
        <v>6.7123503766755629E-3</v>
      </c>
      <c r="AI3">
        <v>1</v>
      </c>
      <c r="AJ3" s="4">
        <f ca="1">X14</f>
        <v>7.3111728715540706E-3</v>
      </c>
    </row>
    <row r="4" spans="1:36" x14ac:dyDescent="0.35">
      <c r="A4" vm="5">
        <f ca="1"/>
        <v>45294</v>
      </c>
      <c r="B4" vm="6">
        <f ca="1"/>
        <v>47.569000000000003</v>
      </c>
      <c r="C4" s="4">
        <f ca="1">IFERROR((B4-B3)/B3,C3)</f>
        <v>-1.2435641919946783E-2</v>
      </c>
      <c r="D4" s="4">
        <f ca="1">IFERROR(LN(B4/B3),D3)</f>
        <v>-1.2513611591216481E-2</v>
      </c>
      <c r="E4" s="8">
        <f ca="1">IFERROR(B4-B3,0)</f>
        <v>-0.59899999999999665</v>
      </c>
      <c r="F4" s="8" vm="2">
        <f ca="1">IFERROR(B3,F3)</f>
        <v>48.167999999999999</v>
      </c>
      <c r="H4" s="5" t="s">
        <v>6</v>
      </c>
      <c r="I4" s="5" t="s">
        <v>7</v>
      </c>
      <c r="K4" vm="7">
        <f ca="1"/>
        <v>46027</v>
      </c>
      <c r="L4" vm="8">
        <f ca="1"/>
        <v>188.12</v>
      </c>
      <c r="N4" s="1">
        <v>46027</v>
      </c>
      <c r="O4" s="8">
        <f ca="1">O3*EXP(($H$9-($I$9^2)/2)*1+$I$9*1*_xlfn.NORM.S.INV(RAND()))</f>
        <v>195.74396812425977</v>
      </c>
      <c r="P4" s="4">
        <f ca="1">ABS(O4-L4)/L4</f>
        <v>4.0527153541674257E-2</v>
      </c>
      <c r="R4" s="1">
        <v>46027</v>
      </c>
      <c r="S4" s="8">
        <f ca="1">S3+$H$15*($H$6-S3)*1+$I$9*1*_xlfn.NORM.S.INV(RAND())</f>
        <v>188.36177528347079</v>
      </c>
      <c r="T4" s="4">
        <f t="shared" ref="T4:T13" ca="1" si="0">ABS(S4-L4)/L4</f>
        <v>1.2852183897022482E-3</v>
      </c>
      <c r="V4" s="1">
        <v>46027</v>
      </c>
      <c r="W4" s="11">
        <f ca="1">W3+$H$15*($H$6-W3)*1+$H$5*SQRT(MAX(W3,0)*1)*_xlfn.NORM.S.INV(RAND())</f>
        <v>188.33536860198498</v>
      </c>
      <c r="X4" s="4">
        <f t="shared" ref="X4:X13" ca="1" si="1">ABS(W4-L4)/L4</f>
        <v>1.1448469167817201E-3</v>
      </c>
      <c r="AC4">
        <v>2</v>
      </c>
      <c r="AD4" s="4">
        <f t="dataTable" ref="AD4:AD502" dt2D="0" dtr="0" r1="AB493" ca="1"/>
        <v>3.4875684705206175E-2</v>
      </c>
      <c r="AF4">
        <v>2</v>
      </c>
      <c r="AG4" s="4">
        <f t="dataTable" ref="AG4:AG502" dt2D="0" dtr="0" r1="AH493" ca="1"/>
        <v>6.8476523340376162E-3</v>
      </c>
      <c r="AI4">
        <v>2</v>
      </c>
      <c r="AJ4" s="4">
        <f t="dataTable" ref="AJ4:AJ502" dt2D="0" dtr="0" r1="AH492" ca="1"/>
        <v>6.4975837784186398E-3</v>
      </c>
    </row>
    <row r="5" spans="1:36" x14ac:dyDescent="0.35">
      <c r="A5" vm="9">
        <f ca="1"/>
        <v>45295</v>
      </c>
      <c r="B5" vm="10">
        <f ca="1"/>
        <v>47.997999999999998</v>
      </c>
      <c r="C5" s="4">
        <f t="shared" ref="C5:C68" ca="1" si="2">IFERROR((B5-B4)/B4,C4)</f>
        <v>9.0184784208201755E-3</v>
      </c>
      <c r="D5" s="4">
        <f t="shared" ref="D5:D68" ca="1" si="3">IFERROR(LN(B5/B4),D4)</f>
        <v>8.9780548022143636E-3</v>
      </c>
      <c r="E5" s="8">
        <f t="shared" ref="E5:E68" ca="1" si="4">IFERROR(B5-B4,0)</f>
        <v>0.42899999999999494</v>
      </c>
      <c r="F5" s="8" vm="6">
        <f t="shared" ref="F5:F68" ca="1" si="5">IFERROR(B4,F4)</f>
        <v>47.569000000000003</v>
      </c>
      <c r="H5" s="4">
        <f ca="1">AVERAGE(C4:C504)</f>
        <v>3.2208219842566319E-3</v>
      </c>
      <c r="I5" s="4">
        <f ca="1">_xlfn.STDEV.P((C4:C504))</f>
        <v>3.2148532710575078E-2</v>
      </c>
      <c r="K5" vm="11">
        <f ca="1"/>
        <v>46028</v>
      </c>
      <c r="L5" vm="12">
        <f ca="1"/>
        <v>187.24</v>
      </c>
      <c r="N5" s="1">
        <v>46028</v>
      </c>
      <c r="O5" s="8">
        <f t="shared" ref="O5:O13" ca="1" si="6">O4*EXP(($H$9-($I$9^2)/2)*1+$I$9*1*_xlfn.NORM.S.INV(RAND()))</f>
        <v>184.43851887724918</v>
      </c>
      <c r="P5" s="4">
        <f t="shared" ref="P5:P13" ca="1" si="7">ABS(O5-L5)/L5</f>
        <v>1.4961979933512224E-2</v>
      </c>
      <c r="R5" s="1">
        <v>46028</v>
      </c>
      <c r="S5" s="8">
        <f t="shared" ref="S5:S13" ca="1" si="8">S4+$H$15*($H$6-S4)*1+$I$9*1*_xlfn.NORM.S.INV(RAND())</f>
        <v>187.85607331831648</v>
      </c>
      <c r="T5" s="4">
        <f t="shared" ca="1" si="0"/>
        <v>3.2902868955162709E-3</v>
      </c>
      <c r="V5" s="1">
        <v>46028</v>
      </c>
      <c r="W5" s="11">
        <f t="shared" ref="W5:W13" ca="1" si="9">W4+$H$15*($H$6-W4)*1+$I$5*SQRT(MAX(W4,0)*1)*_xlfn.NORM.S.INV(RAND())</f>
        <v>188.14307010172084</v>
      </c>
      <c r="X5" s="4">
        <f t="shared" ca="1" si="1"/>
        <v>4.8230618549499503E-3</v>
      </c>
      <c r="AC5">
        <v>3</v>
      </c>
      <c r="AD5" s="4">
        <v>3.1499972446267378E-2</v>
      </c>
      <c r="AF5">
        <v>3</v>
      </c>
      <c r="AG5" s="4">
        <v>6.7273614488146229E-3</v>
      </c>
      <c r="AI5">
        <v>3</v>
      </c>
      <c r="AJ5" s="4">
        <v>6.4802340134423285E-3</v>
      </c>
    </row>
    <row r="6" spans="1:36" x14ac:dyDescent="0.35">
      <c r="A6" vm="13">
        <f ca="1"/>
        <v>45296</v>
      </c>
      <c r="B6" vm="14">
        <f ca="1"/>
        <v>49.097000000000001</v>
      </c>
      <c r="C6" s="4">
        <f t="shared" ca="1" si="2"/>
        <v>2.2896787366140335E-2</v>
      </c>
      <c r="D6" s="4">
        <f t="shared" ca="1" si="3"/>
        <v>2.2638589764327754E-2</v>
      </c>
      <c r="E6" s="8">
        <f t="shared" ca="1" si="4"/>
        <v>1.0990000000000038</v>
      </c>
      <c r="F6" s="8" vm="10">
        <f t="shared" ca="1" si="5"/>
        <v>47.997999999999998</v>
      </c>
      <c r="H6" s="8">
        <f ca="1">AVERAGE(F3:F504)</f>
        <v>130.40063844621511</v>
      </c>
      <c r="I6" s="8">
        <f ca="1">_xlfn.STDEV.P(F4:F504)</f>
        <v>36.469666929245435</v>
      </c>
      <c r="K6" vm="15">
        <f ca="1"/>
        <v>46029</v>
      </c>
      <c r="L6" vm="16">
        <f ca="1"/>
        <v>189.11</v>
      </c>
      <c r="N6" s="1">
        <v>46029</v>
      </c>
      <c r="O6" s="8">
        <f t="shared" ca="1" si="6"/>
        <v>196.68619436203915</v>
      </c>
      <c r="P6" s="4">
        <f t="shared" ca="1" si="7"/>
        <v>4.0062367733272333E-2</v>
      </c>
      <c r="R6" s="1">
        <v>46029</v>
      </c>
      <c r="S6" s="8">
        <f t="shared" ca="1" si="8"/>
        <v>187.4072440230909</v>
      </c>
      <c r="T6" s="4">
        <f t="shared" ca="1" si="0"/>
        <v>9.00405043048552E-3</v>
      </c>
      <c r="V6" s="1">
        <v>46029</v>
      </c>
      <c r="W6" s="11">
        <f t="shared" ca="1" si="9"/>
        <v>187.56062834865247</v>
      </c>
      <c r="X6" s="4">
        <f t="shared" ca="1" si="1"/>
        <v>8.1929652125616939E-3</v>
      </c>
      <c r="AC6">
        <v>4</v>
      </c>
      <c r="AD6" s="4">
        <v>4.2865531170511104E-2</v>
      </c>
      <c r="AF6">
        <v>4</v>
      </c>
      <c r="AG6" s="4">
        <v>6.8004634614361095E-3</v>
      </c>
      <c r="AI6">
        <v>4</v>
      </c>
      <c r="AJ6" s="4">
        <v>7.2813737835271918E-3</v>
      </c>
    </row>
    <row r="7" spans="1:36" x14ac:dyDescent="0.35">
      <c r="A7" vm="17">
        <f ca="1"/>
        <v>45299</v>
      </c>
      <c r="B7" vm="18">
        <f ca="1"/>
        <v>52.253</v>
      </c>
      <c r="C7" s="4">
        <f t="shared" ca="1" si="2"/>
        <v>6.428091329409126E-2</v>
      </c>
      <c r="D7" s="4">
        <f t="shared" ca="1" si="3"/>
        <v>6.2299372327139918E-2</v>
      </c>
      <c r="E7" s="8">
        <f t="shared" ca="1" si="4"/>
        <v>3.1559999999999988</v>
      </c>
      <c r="F7" s="8" vm="14">
        <f t="shared" ca="1" si="5"/>
        <v>49.097000000000001</v>
      </c>
      <c r="H7" s="7" t="s">
        <v>3</v>
      </c>
      <c r="I7" s="4"/>
      <c r="K7" vm="19">
        <f ca="1"/>
        <v>46030</v>
      </c>
      <c r="L7" vm="20">
        <f ca="1"/>
        <v>185.04</v>
      </c>
      <c r="N7" s="1">
        <v>46030</v>
      </c>
      <c r="O7" s="8">
        <f t="shared" ca="1" si="6"/>
        <v>206.42054120183781</v>
      </c>
      <c r="P7" s="4">
        <f t="shared" ca="1" si="7"/>
        <v>0.11554551016989741</v>
      </c>
      <c r="R7" s="1">
        <v>46030</v>
      </c>
      <c r="S7" s="8">
        <f t="shared" ca="1" si="8"/>
        <v>186.86966394326868</v>
      </c>
      <c r="T7" s="4">
        <f t="shared" ca="1" si="0"/>
        <v>9.8879374366011921E-3</v>
      </c>
      <c r="V7" s="1">
        <v>46030</v>
      </c>
      <c r="W7" s="11">
        <f t="shared" ca="1" si="9"/>
        <v>186.6648846063608</v>
      </c>
      <c r="X7" s="4">
        <f t="shared" ca="1" si="1"/>
        <v>8.7812613832728512E-3</v>
      </c>
      <c r="AC7">
        <v>5</v>
      </c>
      <c r="AD7" s="4">
        <v>8.8237944057988876E-2</v>
      </c>
      <c r="AF7">
        <v>5</v>
      </c>
      <c r="AG7" s="4">
        <v>6.7884180979404544E-3</v>
      </c>
      <c r="AI7">
        <v>5</v>
      </c>
      <c r="AJ7" s="4">
        <v>7.882715739952674E-3</v>
      </c>
    </row>
    <row r="8" spans="1:36" x14ac:dyDescent="0.35">
      <c r="A8" vm="21">
        <f ca="1"/>
        <v>45300</v>
      </c>
      <c r="B8" vm="22">
        <f ca="1"/>
        <v>53.14</v>
      </c>
      <c r="C8" s="4">
        <f t="shared" ca="1" si="2"/>
        <v>1.6975101908024429E-2</v>
      </c>
      <c r="D8" s="4">
        <f t="shared" ca="1" si="3"/>
        <v>1.6832634867055305E-2</v>
      </c>
      <c r="E8" s="8">
        <f t="shared" ca="1" si="4"/>
        <v>0.88700000000000045</v>
      </c>
      <c r="F8" s="8" vm="18">
        <f t="shared" ca="1" si="5"/>
        <v>52.253</v>
      </c>
      <c r="H8" s="5" t="s">
        <v>6</v>
      </c>
      <c r="I8" s="5" t="s">
        <v>7</v>
      </c>
      <c r="K8" vm="23">
        <f ca="1"/>
        <v>46031</v>
      </c>
      <c r="L8" vm="24">
        <f ca="1"/>
        <v>184.86</v>
      </c>
      <c r="N8" s="1">
        <v>46031</v>
      </c>
      <c r="O8" s="8">
        <f t="shared" ca="1" si="6"/>
        <v>203.11600072431261</v>
      </c>
      <c r="P8" s="4">
        <f t="shared" ca="1" si="7"/>
        <v>9.8755819129679748E-2</v>
      </c>
      <c r="R8" s="1">
        <v>46031</v>
      </c>
      <c r="S8" s="8">
        <f t="shared" ca="1" si="8"/>
        <v>186.38704171667973</v>
      </c>
      <c r="T8" s="4">
        <f t="shared" ca="1" si="0"/>
        <v>8.2605307620887084E-3</v>
      </c>
      <c r="V8" s="1">
        <v>46031</v>
      </c>
      <c r="W8" s="11">
        <f t="shared" ca="1" si="9"/>
        <v>186.74963212263975</v>
      </c>
      <c r="X8" s="4">
        <f t="shared" ca="1" si="1"/>
        <v>1.0221963229685918E-2</v>
      </c>
      <c r="AC8">
        <v>6</v>
      </c>
      <c r="AD8" s="4">
        <v>1.2541555057291178E-2</v>
      </c>
      <c r="AF8">
        <v>6</v>
      </c>
      <c r="AG8" s="4">
        <v>6.7601649459440053E-3</v>
      </c>
      <c r="AI8">
        <v>6</v>
      </c>
      <c r="AJ8" s="4">
        <v>5.8971552764371269E-3</v>
      </c>
    </row>
    <row r="9" spans="1:36" x14ac:dyDescent="0.35">
      <c r="A9" vm="25">
        <f ca="1"/>
        <v>45301</v>
      </c>
      <c r="B9" vm="26">
        <f ca="1"/>
        <v>54.35</v>
      </c>
      <c r="C9" s="4">
        <f t="shared" ca="1" si="2"/>
        <v>2.277004140007529E-2</v>
      </c>
      <c r="D9" s="4">
        <f t="shared" ca="1" si="3"/>
        <v>2.2514673235551053E-2</v>
      </c>
      <c r="E9" s="8">
        <f t="shared" ca="1" si="4"/>
        <v>1.2100000000000009</v>
      </c>
      <c r="F9" s="8" vm="22">
        <f t="shared" ca="1" si="5"/>
        <v>53.14</v>
      </c>
      <c r="H9" s="4">
        <f ca="1">AVERAGE(D4:D504)</f>
        <v>2.7020685407619263E-3</v>
      </c>
      <c r="I9" s="4">
        <f ca="1">_xlfn.STDEV.P(D4:D504)</f>
        <v>3.2068464771131448E-2</v>
      </c>
      <c r="K9" vm="27">
        <f ca="1"/>
        <v>46034</v>
      </c>
      <c r="L9" vm="28">
        <f ca="1"/>
        <v>184.94</v>
      </c>
      <c r="N9" s="1">
        <v>46034</v>
      </c>
      <c r="O9" s="8">
        <f t="shared" ca="1" si="6"/>
        <v>193.50235546476861</v>
      </c>
      <c r="P9" s="4">
        <f t="shared" ca="1" si="7"/>
        <v>4.6298018085695981E-2</v>
      </c>
      <c r="R9" s="1">
        <v>46034</v>
      </c>
      <c r="S9" s="8">
        <f t="shared" ca="1" si="8"/>
        <v>185.94075705055377</v>
      </c>
      <c r="T9" s="4">
        <f t="shared" ca="1" si="0"/>
        <v>5.4112525713949002E-3</v>
      </c>
      <c r="V9" s="1">
        <v>46034</v>
      </c>
      <c r="W9" s="11">
        <f t="shared" ca="1" si="9"/>
        <v>186.56428130312776</v>
      </c>
      <c r="X9" s="4">
        <f t="shared" ca="1" si="1"/>
        <v>8.782747394440139E-3</v>
      </c>
      <c r="AC9">
        <v>7</v>
      </c>
      <c r="AD9" s="4">
        <v>2.2430162049309775E-2</v>
      </c>
      <c r="AF9">
        <v>7</v>
      </c>
      <c r="AG9" s="4">
        <v>6.8281450062524065E-3</v>
      </c>
      <c r="AI9">
        <v>7</v>
      </c>
      <c r="AJ9" s="4">
        <v>8.8319748548362758E-3</v>
      </c>
    </row>
    <row r="10" spans="1:36" x14ac:dyDescent="0.35">
      <c r="A10" vm="29">
        <f ca="1"/>
        <v>45302</v>
      </c>
      <c r="B10" vm="30">
        <f ca="1"/>
        <v>54.822000000000003</v>
      </c>
      <c r="C10" s="4">
        <f t="shared" ca="1" si="2"/>
        <v>8.6844526218951487E-3</v>
      </c>
      <c r="D10" s="4">
        <f t="shared" ca="1" si="3"/>
        <v>8.6469596773201644E-3</v>
      </c>
      <c r="E10" s="8">
        <f t="shared" ca="1" si="4"/>
        <v>0.47200000000000131</v>
      </c>
      <c r="F10" s="8" vm="26">
        <f t="shared" ca="1" si="5"/>
        <v>54.35</v>
      </c>
      <c r="K10" vm="31">
        <f ca="1"/>
        <v>46035</v>
      </c>
      <c r="L10" vm="32">
        <f ca="1"/>
        <v>185.81</v>
      </c>
      <c r="N10" s="1">
        <v>46035</v>
      </c>
      <c r="O10" s="8">
        <f t="shared" ca="1" si="6"/>
        <v>185.82313678111043</v>
      </c>
      <c r="P10" s="4">
        <f t="shared" ca="1" si="7"/>
        <v>7.0700075940114058E-5</v>
      </c>
      <c r="R10" s="1">
        <v>46035</v>
      </c>
      <c r="S10" s="8">
        <f t="shared" ca="1" si="8"/>
        <v>185.49148432336929</v>
      </c>
      <c r="T10" s="4">
        <f t="shared" ca="1" si="0"/>
        <v>1.7142009398348325E-3</v>
      </c>
      <c r="V10" s="1">
        <v>46035</v>
      </c>
      <c r="W10" s="11">
        <f t="shared" ca="1" si="9"/>
        <v>186.30819933725436</v>
      </c>
      <c r="X10" s="4">
        <f t="shared" ca="1" si="1"/>
        <v>2.6812299513178125E-3</v>
      </c>
      <c r="AC10">
        <v>8</v>
      </c>
      <c r="AD10" s="4">
        <v>5.3008080945539403E-2</v>
      </c>
      <c r="AF10">
        <v>8</v>
      </c>
      <c r="AG10" s="4">
        <v>6.7849428796545649E-3</v>
      </c>
      <c r="AI10">
        <v>8</v>
      </c>
      <c r="AJ10" s="4">
        <v>6.9851009668644966E-3</v>
      </c>
    </row>
    <row r="11" spans="1:36" x14ac:dyDescent="0.35">
      <c r="A11" vm="33">
        <f ca="1"/>
        <v>45303</v>
      </c>
      <c r="B11" vm="34">
        <f ca="1"/>
        <v>54.71</v>
      </c>
      <c r="C11" s="4">
        <f t="shared" ca="1" si="2"/>
        <v>-2.0429754478129558E-3</v>
      </c>
      <c r="D11" s="4">
        <f t="shared" ca="1" si="3"/>
        <v>-2.0450651688040068E-3</v>
      </c>
      <c r="E11" s="8">
        <f t="shared" ca="1" si="4"/>
        <v>-0.11200000000000188</v>
      </c>
      <c r="F11" s="8" vm="30">
        <f t="shared" ca="1" si="5"/>
        <v>54.822000000000003</v>
      </c>
      <c r="H11" s="21" t="s">
        <v>27</v>
      </c>
      <c r="I11" s="21"/>
      <c r="K11" vm="35">
        <f ca="1"/>
        <v>46036</v>
      </c>
      <c r="L11" vm="36">
        <f ca="1"/>
        <v>183.14</v>
      </c>
      <c r="N11" s="1">
        <v>46036</v>
      </c>
      <c r="O11" s="8">
        <f t="shared" ca="1" si="6"/>
        <v>186.20606134573219</v>
      </c>
      <c r="P11" s="4">
        <f t="shared" ca="1" si="7"/>
        <v>1.6741625782091343E-2</v>
      </c>
      <c r="R11" s="1">
        <v>46036</v>
      </c>
      <c r="S11" s="8">
        <f t="shared" ca="1" si="8"/>
        <v>184.97376891687671</v>
      </c>
      <c r="T11" s="4">
        <f t="shared" ca="1" si="0"/>
        <v>1.0012935005333196E-2</v>
      </c>
      <c r="V11" s="1">
        <v>46036</v>
      </c>
      <c r="W11" s="11">
        <f t="shared" ca="1" si="9"/>
        <v>186.25546368135156</v>
      </c>
      <c r="X11" s="4">
        <f t="shared" ca="1" si="1"/>
        <v>1.7011377532770398E-2</v>
      </c>
      <c r="AC11">
        <v>9</v>
      </c>
      <c r="AD11" s="4">
        <v>6.6572443323498959E-2</v>
      </c>
      <c r="AF11">
        <v>9</v>
      </c>
      <c r="AG11" s="4">
        <v>6.7839323280787737E-3</v>
      </c>
      <c r="AI11">
        <v>9</v>
      </c>
      <c r="AJ11" s="4">
        <v>8.224338639373335E-3</v>
      </c>
    </row>
    <row r="12" spans="1:36" x14ac:dyDescent="0.35">
      <c r="A12" vm="37">
        <f ca="1"/>
        <v>45307</v>
      </c>
      <c r="B12" vm="38">
        <f ca="1"/>
        <v>56.381999999999998</v>
      </c>
      <c r="C12" s="4">
        <f t="shared" ca="1" si="2"/>
        <v>3.0561140559312687E-2</v>
      </c>
      <c r="D12" s="4">
        <f t="shared" ca="1" si="3"/>
        <v>3.0103450553248329E-2</v>
      </c>
      <c r="E12" s="8">
        <f t="shared" ca="1" si="4"/>
        <v>1.671999999999997</v>
      </c>
      <c r="F12" s="8" vm="34">
        <f t="shared" ca="1" si="5"/>
        <v>54.71</v>
      </c>
      <c r="H12" cm="1">
        <f t="array" aca="1" ref="H12:I12" ca="1">LINEST(E4:E504,F4:F504)</f>
        <v>-8.5477253367063771E-3</v>
      </c>
      <c r="I12">
        <f ca="1"/>
        <v>1.3929654256827126</v>
      </c>
      <c r="K12" vm="39">
        <f ca="1"/>
        <v>46037</v>
      </c>
      <c r="L12" vm="40">
        <f ca="1"/>
        <v>187.05</v>
      </c>
      <c r="N12" s="1">
        <v>46037</v>
      </c>
      <c r="O12" s="8">
        <f t="shared" ca="1" si="6"/>
        <v>188.43595390693233</v>
      </c>
      <c r="P12" s="4">
        <f t="shared" ca="1" si="7"/>
        <v>7.409537059247873E-3</v>
      </c>
      <c r="R12" s="1">
        <v>46037</v>
      </c>
      <c r="S12" s="8">
        <f t="shared" ca="1" si="8"/>
        <v>184.51717384098146</v>
      </c>
      <c r="T12" s="4">
        <f t="shared" ca="1" si="0"/>
        <v>1.3540904351876796E-2</v>
      </c>
      <c r="V12" s="1">
        <v>46037</v>
      </c>
      <c r="W12" s="11">
        <f t="shared" ca="1" si="9"/>
        <v>185.14989390934329</v>
      </c>
      <c r="X12" s="4">
        <f t="shared" ca="1" si="1"/>
        <v>1.0158279019816734E-2</v>
      </c>
      <c r="AC12">
        <v>10</v>
      </c>
      <c r="AD12" s="4">
        <v>5.2519413759874164E-2</v>
      </c>
      <c r="AF12">
        <v>10</v>
      </c>
      <c r="AG12" s="4">
        <v>6.741310934058122E-3</v>
      </c>
      <c r="AI12">
        <v>10</v>
      </c>
      <c r="AJ12" s="4">
        <v>5.9838643380880048E-3</v>
      </c>
    </row>
    <row r="13" spans="1:36" x14ac:dyDescent="0.35">
      <c r="A13" vm="41">
        <f ca="1"/>
        <v>45308</v>
      </c>
      <c r="B13" vm="42">
        <f ca="1"/>
        <v>56.052999999999997</v>
      </c>
      <c r="C13" s="4">
        <f t="shared" ca="1" si="2"/>
        <v>-5.8351956298109435E-3</v>
      </c>
      <c r="D13" s="4">
        <f t="shared" ca="1" si="3"/>
        <v>-5.8522869035454146E-3</v>
      </c>
      <c r="E13" s="8">
        <f t="shared" ca="1" si="4"/>
        <v>-0.32900000000000063</v>
      </c>
      <c r="F13" s="8" vm="38">
        <f t="shared" ca="1" si="5"/>
        <v>56.381999999999998</v>
      </c>
      <c r="K13" vm="43">
        <f ca="1"/>
        <v>46038</v>
      </c>
      <c r="L13" vm="44">
        <f ca="1"/>
        <v>186.23</v>
      </c>
      <c r="N13" s="1">
        <v>46038</v>
      </c>
      <c r="O13" s="8">
        <f t="shared" ca="1" si="6"/>
        <v>183.36464938462993</v>
      </c>
      <c r="P13" s="4">
        <f t="shared" ca="1" si="7"/>
        <v>1.538608503125201E-2</v>
      </c>
      <c r="R13" s="1">
        <v>46038</v>
      </c>
      <c r="S13" s="8">
        <f t="shared" ca="1" si="8"/>
        <v>184.10166348733591</v>
      </c>
      <c r="T13" s="4">
        <f t="shared" ca="1" si="0"/>
        <v>1.1428537360597528E-2</v>
      </c>
      <c r="V13" s="1">
        <v>46038</v>
      </c>
      <c r="W13" s="11">
        <f t="shared" ca="1" si="9"/>
        <v>184.6237347600904</v>
      </c>
      <c r="X13" s="4">
        <f t="shared" ca="1" si="1"/>
        <v>8.6251690914975546E-3</v>
      </c>
      <c r="AC13">
        <v>11</v>
      </c>
      <c r="AD13" s="4">
        <v>3.1575010283135127E-2</v>
      </c>
      <c r="AF13">
        <v>11</v>
      </c>
      <c r="AG13" s="4">
        <v>6.7778198408852929E-3</v>
      </c>
      <c r="AI13">
        <v>11</v>
      </c>
      <c r="AJ13" s="4">
        <v>6.6177926833135194E-3</v>
      </c>
    </row>
    <row r="14" spans="1:36" x14ac:dyDescent="0.35">
      <c r="A14" vm="45">
        <f ca="1"/>
        <v>45309</v>
      </c>
      <c r="B14" vm="46">
        <f ca="1"/>
        <v>57.106999999999999</v>
      </c>
      <c r="C14" s="4">
        <f t="shared" ca="1" si="2"/>
        <v>1.8803632276595404E-2</v>
      </c>
      <c r="D14" s="4">
        <f t="shared" ca="1" si="3"/>
        <v>1.8629029366706761E-2</v>
      </c>
      <c r="E14" s="8">
        <f t="shared" ca="1" si="4"/>
        <v>1.054000000000002</v>
      </c>
      <c r="F14" s="8" vm="42">
        <f t="shared" ca="1" si="5"/>
        <v>56.052999999999997</v>
      </c>
      <c r="H14" s="2" t="s">
        <v>13</v>
      </c>
      <c r="I14" s="2" t="s">
        <v>15</v>
      </c>
      <c r="O14" s="9" t="s">
        <v>10</v>
      </c>
      <c r="P14" s="10">
        <f ca="1">AVERAGE(P4:P13)</f>
        <v>3.9575879654226327E-2</v>
      </c>
      <c r="S14" s="2" t="s">
        <v>10</v>
      </c>
      <c r="T14" s="10">
        <f ca="1">AVERAGE(T3:T13)</f>
        <v>6.7123503766755629E-3</v>
      </c>
      <c r="W14" s="2" t="s">
        <v>10</v>
      </c>
      <c r="X14" s="10">
        <f ca="1">AVERAGE(X3:X13)</f>
        <v>7.3111728715540706E-3</v>
      </c>
      <c r="AC14">
        <v>12</v>
      </c>
      <c r="AD14" s="4">
        <v>4.1407025743010951E-2</v>
      </c>
      <c r="AF14">
        <v>12</v>
      </c>
      <c r="AG14" s="4">
        <v>6.8158699009326553E-3</v>
      </c>
      <c r="AI14">
        <v>12</v>
      </c>
      <c r="AJ14" s="4">
        <v>7.6311027680752378E-3</v>
      </c>
    </row>
    <row r="15" spans="1:36" x14ac:dyDescent="0.35">
      <c r="A15" vm="47">
        <f ca="1"/>
        <v>45310</v>
      </c>
      <c r="B15" vm="48">
        <f ca="1"/>
        <v>59.491</v>
      </c>
      <c r="C15" s="4">
        <f t="shared" ca="1" si="2"/>
        <v>4.1746195737825495E-2</v>
      </c>
      <c r="D15" s="4">
        <f t="shared" ca="1" si="3"/>
        <v>4.0898339514214455E-2</v>
      </c>
      <c r="E15" s="8">
        <f t="shared" ca="1" si="4"/>
        <v>2.3840000000000003</v>
      </c>
      <c r="F15" s="8" vm="46">
        <f t="shared" ca="1" si="5"/>
        <v>57.106999999999999</v>
      </c>
      <c r="H15">
        <f ca="1">-H12</f>
        <v>8.5477253367063771E-3</v>
      </c>
      <c r="I15">
        <f ca="1">-I12/H12</f>
        <v>162.96328798738077</v>
      </c>
      <c r="AC15">
        <v>13</v>
      </c>
      <c r="AD15" s="4">
        <v>6.5093664482257257E-2</v>
      </c>
      <c r="AF15">
        <v>13</v>
      </c>
      <c r="AG15" s="4">
        <v>6.6901526887765683E-3</v>
      </c>
      <c r="AI15">
        <v>13</v>
      </c>
      <c r="AJ15" s="4">
        <v>7.3578894422905725E-3</v>
      </c>
    </row>
    <row r="16" spans="1:36" x14ac:dyDescent="0.35">
      <c r="A16" vm="49">
        <f ca="1"/>
        <v>45313</v>
      </c>
      <c r="B16" vm="50">
        <f ca="1"/>
        <v>59.654000000000003</v>
      </c>
      <c r="C16" s="4">
        <f t="shared" ca="1" si="2"/>
        <v>2.7399102385235381E-3</v>
      </c>
      <c r="D16" s="4">
        <f t="shared" ca="1" si="3"/>
        <v>2.7361635266750142E-3</v>
      </c>
      <c r="E16" s="8">
        <f t="shared" ca="1" si="4"/>
        <v>0.16300000000000381</v>
      </c>
      <c r="F16" s="8" vm="48">
        <f t="shared" ca="1" si="5"/>
        <v>59.491</v>
      </c>
      <c r="AC16">
        <v>14</v>
      </c>
      <c r="AD16" s="4">
        <v>2.9827233020484005E-2</v>
      </c>
      <c r="AF16">
        <v>14</v>
      </c>
      <c r="AG16" s="4">
        <v>6.775170674605994E-3</v>
      </c>
      <c r="AI16">
        <v>14</v>
      </c>
      <c r="AJ16" s="4">
        <v>8.6219304553981722E-3</v>
      </c>
    </row>
    <row r="17" spans="1:36" ht="15" thickBot="1" x14ac:dyDescent="0.4">
      <c r="A17" vm="51">
        <f ca="1"/>
        <v>45314</v>
      </c>
      <c r="B17" vm="52">
        <f ca="1"/>
        <v>59.872999999999998</v>
      </c>
      <c r="C17" s="4">
        <f t="shared" ca="1" si="2"/>
        <v>3.671170416065881E-3</v>
      </c>
      <c r="D17" s="4">
        <f t="shared" ca="1" si="3"/>
        <v>3.6644481173998471E-3</v>
      </c>
      <c r="E17" s="8">
        <f t="shared" ca="1" si="4"/>
        <v>0.21899999999999409</v>
      </c>
      <c r="F17" s="8" vm="50">
        <f t="shared" ca="1" si="5"/>
        <v>59.654000000000003</v>
      </c>
      <c r="AC17">
        <v>15</v>
      </c>
      <c r="AD17" s="4">
        <v>3.7044024789878352E-2</v>
      </c>
      <c r="AF17">
        <v>15</v>
      </c>
      <c r="AG17" s="4">
        <v>6.6756564493922832E-3</v>
      </c>
      <c r="AI17">
        <v>15</v>
      </c>
      <c r="AJ17" s="4">
        <v>6.8665738286955652E-3</v>
      </c>
    </row>
    <row r="18" spans="1:36" x14ac:dyDescent="0.35">
      <c r="A18" vm="53">
        <f ca="1"/>
        <v>45315</v>
      </c>
      <c r="B18" vm="54">
        <f ca="1"/>
        <v>61.362000000000002</v>
      </c>
      <c r="C18" s="4">
        <f t="shared" ca="1" si="2"/>
        <v>2.4869306699180003E-2</v>
      </c>
      <c r="D18" s="4">
        <f t="shared" ca="1" si="3"/>
        <v>2.4565098801497365E-2</v>
      </c>
      <c r="E18" s="8">
        <f t="shared" ca="1" si="4"/>
        <v>1.4890000000000043</v>
      </c>
      <c r="F18" s="8" vm="52">
        <f t="shared" ca="1" si="5"/>
        <v>59.872999999999998</v>
      </c>
      <c r="N18" s="23" t="s">
        <v>25</v>
      </c>
      <c r="O18" s="24"/>
      <c r="P18" s="25"/>
      <c r="AC18">
        <v>16</v>
      </c>
      <c r="AD18" s="4">
        <v>2.8567852755194856E-2</v>
      </c>
      <c r="AF18">
        <v>16</v>
      </c>
      <c r="AG18" s="4">
        <v>6.7740453638120285E-3</v>
      </c>
      <c r="AI18">
        <v>16</v>
      </c>
      <c r="AJ18" s="4">
        <v>7.4337362020277138E-3</v>
      </c>
    </row>
    <row r="19" spans="1:36" x14ac:dyDescent="0.35">
      <c r="A19" vm="55">
        <f ca="1"/>
        <v>45316</v>
      </c>
      <c r="B19" vm="56">
        <f ca="1"/>
        <v>61.616999999999997</v>
      </c>
      <c r="C19" s="4">
        <f t="shared" ca="1" si="2"/>
        <v>4.1556663733254362E-3</v>
      </c>
      <c r="D19" s="4">
        <f t="shared" ca="1" si="3"/>
        <v>4.1470554396906695E-3</v>
      </c>
      <c r="E19" s="8">
        <f t="shared" ca="1" si="4"/>
        <v>0.25499999999999545</v>
      </c>
      <c r="F19" s="8" vm="54">
        <f t="shared" ca="1" si="5"/>
        <v>61.362000000000002</v>
      </c>
      <c r="N19" s="14" t="s">
        <v>24</v>
      </c>
      <c r="O19" s="12" t="s">
        <v>6</v>
      </c>
      <c r="P19" s="15" t="s">
        <v>7</v>
      </c>
      <c r="AC19">
        <v>17</v>
      </c>
      <c r="AD19" s="4">
        <v>4.6550603255118922E-2</v>
      </c>
      <c r="AF19">
        <v>17</v>
      </c>
      <c r="AG19" s="4">
        <v>6.7943800388460211E-3</v>
      </c>
      <c r="AI19">
        <v>17</v>
      </c>
      <c r="AJ19" s="4">
        <v>7.4672877727714089E-3</v>
      </c>
    </row>
    <row r="20" spans="1:36" x14ac:dyDescent="0.35">
      <c r="A20" vm="57">
        <f ca="1"/>
        <v>45317</v>
      </c>
      <c r="B20" vm="58">
        <f ca="1"/>
        <v>61.030999999999999</v>
      </c>
      <c r="C20" s="4">
        <f t="shared" ca="1" si="2"/>
        <v>-9.5103623999869928E-3</v>
      </c>
      <c r="D20" s="4">
        <f t="shared" ca="1" si="3"/>
        <v>-9.5558746852194947E-3</v>
      </c>
      <c r="E20" s="8">
        <f t="shared" ca="1" si="4"/>
        <v>-0.58599999999999852</v>
      </c>
      <c r="F20" s="8" vm="56">
        <f t="shared" ca="1" si="5"/>
        <v>61.616999999999997</v>
      </c>
      <c r="N20" s="16" t="s">
        <v>0</v>
      </c>
      <c r="O20" s="13">
        <f>AVERAGE(AD9:AD502)</f>
        <v>6.4578927398133673E-2</v>
      </c>
      <c r="P20" s="17">
        <f>_xlfn.STDEV.P(AD9:AD502)</f>
        <v>3.7685891808685111E-2</v>
      </c>
      <c r="AC20">
        <v>18</v>
      </c>
      <c r="AD20" s="4">
        <v>2.2452352125559079E-2</v>
      </c>
      <c r="AF20">
        <v>18</v>
      </c>
      <c r="AG20" s="4">
        <v>6.7803133866339493E-3</v>
      </c>
      <c r="AI20">
        <v>18</v>
      </c>
      <c r="AJ20" s="4">
        <v>9.1208097401941895E-3</v>
      </c>
    </row>
    <row r="21" spans="1:36" x14ac:dyDescent="0.35">
      <c r="A21" vm="59">
        <f ca="1"/>
        <v>45320</v>
      </c>
      <c r="B21" vm="60">
        <f ca="1"/>
        <v>62.465000000000003</v>
      </c>
      <c r="C21" s="4">
        <f t="shared" ca="1" si="2"/>
        <v>2.3496256001048724E-2</v>
      </c>
      <c r="D21" s="4">
        <f t="shared" ca="1" si="3"/>
        <v>2.3224468077390762E-2</v>
      </c>
      <c r="E21" s="8">
        <f t="shared" ca="1" si="4"/>
        <v>1.4340000000000046</v>
      </c>
      <c r="F21" s="8" vm="58">
        <f t="shared" ca="1" si="5"/>
        <v>61.030999999999999</v>
      </c>
      <c r="N21" s="16" t="s">
        <v>26</v>
      </c>
      <c r="O21" s="13">
        <f>AVERAGE(AG17:AG502)</f>
        <v>6.7820635355684798E-3</v>
      </c>
      <c r="P21" s="17">
        <f>_xlfn.STDEV.P(AG11:AG502)</f>
        <v>6.1961203991342358E-5</v>
      </c>
      <c r="T21" s="11"/>
      <c r="AC21">
        <v>19</v>
      </c>
      <c r="AD21" s="4">
        <v>4.0718325431928028E-2</v>
      </c>
      <c r="AF21">
        <v>19</v>
      </c>
      <c r="AG21" s="4">
        <v>6.7771741111498614E-3</v>
      </c>
      <c r="AI21">
        <v>19</v>
      </c>
      <c r="AJ21" s="4">
        <v>6.2984008594728774E-3</v>
      </c>
    </row>
    <row r="22" spans="1:36" ht="15" thickBot="1" x14ac:dyDescent="0.4">
      <c r="A22" vm="61">
        <f ca="1"/>
        <v>45321</v>
      </c>
      <c r="B22" vm="62">
        <f ca="1"/>
        <v>62.774000000000001</v>
      </c>
      <c r="C22" s="4">
        <f t="shared" ca="1" si="2"/>
        <v>4.9467701913070913E-3</v>
      </c>
      <c r="D22" s="4">
        <f t="shared" ca="1" si="3"/>
        <v>4.9345751245707323E-3</v>
      </c>
      <c r="E22" s="8">
        <f t="shared" ca="1" si="4"/>
        <v>0.3089999999999975</v>
      </c>
      <c r="F22" s="8" vm="60">
        <f t="shared" ca="1" si="5"/>
        <v>62.465000000000003</v>
      </c>
      <c r="N22" s="18" t="s">
        <v>20</v>
      </c>
      <c r="O22" s="19">
        <f>AVERAGE(AJ14:AJ502)</f>
        <v>7.2531848966849843E-3</v>
      </c>
      <c r="P22" s="20">
        <f>_xlfn.STDEV.P(AJ18:AJ502)</f>
        <v>9.7831783687530672E-4</v>
      </c>
      <c r="AC22">
        <v>20</v>
      </c>
      <c r="AD22" s="4">
        <v>2.900999787708966E-2</v>
      </c>
      <c r="AF22">
        <v>20</v>
      </c>
      <c r="AG22" s="4">
        <v>6.8022333562431257E-3</v>
      </c>
      <c r="AI22">
        <v>20</v>
      </c>
      <c r="AJ22" s="4">
        <v>5.4406911496021277E-3</v>
      </c>
    </row>
    <row r="23" spans="1:36" x14ac:dyDescent="0.35">
      <c r="A23" vm="63">
        <f ca="1"/>
        <v>45322</v>
      </c>
      <c r="B23" vm="64">
        <f ca="1"/>
        <v>61.527000000000001</v>
      </c>
      <c r="C23" s="4">
        <f t="shared" ca="1" si="2"/>
        <v>-1.9864912224806446E-2</v>
      </c>
      <c r="D23" s="4">
        <f t="shared" ca="1" si="3"/>
        <v>-2.0064872148657962E-2</v>
      </c>
      <c r="E23" s="8">
        <f t="shared" ca="1" si="4"/>
        <v>-1.2469999999999999</v>
      </c>
      <c r="F23" s="8" vm="62">
        <f t="shared" ca="1" si="5"/>
        <v>62.774000000000001</v>
      </c>
      <c r="AC23">
        <v>21</v>
      </c>
      <c r="AD23" s="4">
        <v>0.10336281570979441</v>
      </c>
      <c r="AF23">
        <v>21</v>
      </c>
      <c r="AG23" s="4">
        <v>6.7105298817932086E-3</v>
      </c>
      <c r="AI23">
        <v>21</v>
      </c>
      <c r="AJ23" s="4">
        <v>7.2418618992048491E-3</v>
      </c>
    </row>
    <row r="24" spans="1:36" x14ac:dyDescent="0.35">
      <c r="A24" vm="65">
        <f ca="1"/>
        <v>45323</v>
      </c>
      <c r="B24" vm="66">
        <f ca="1"/>
        <v>63.027000000000001</v>
      </c>
      <c r="C24" s="4">
        <f t="shared" ca="1" si="2"/>
        <v>2.4379540689453409E-2</v>
      </c>
      <c r="D24" s="4">
        <f t="shared" ca="1" si="3"/>
        <v>2.4087103149894613E-2</v>
      </c>
      <c r="E24" s="8">
        <f t="shared" ca="1" si="4"/>
        <v>1.5</v>
      </c>
      <c r="F24" s="8" vm="64">
        <f t="shared" ca="1" si="5"/>
        <v>61.527000000000001</v>
      </c>
      <c r="AC24">
        <v>22</v>
      </c>
      <c r="AD24" s="4">
        <v>8.8059137967672257E-2</v>
      </c>
      <c r="AF24">
        <v>22</v>
      </c>
      <c r="AG24" s="4">
        <v>6.6901518233426823E-3</v>
      </c>
      <c r="AI24">
        <v>22</v>
      </c>
      <c r="AJ24" s="4">
        <v>7.3945869916243693E-3</v>
      </c>
    </row>
    <row r="25" spans="1:36" x14ac:dyDescent="0.35">
      <c r="A25" vm="67">
        <f ca="1"/>
        <v>45324</v>
      </c>
      <c r="B25" vm="68">
        <f ca="1"/>
        <v>66.16</v>
      </c>
      <c r="C25" s="4">
        <f t="shared" ca="1" si="2"/>
        <v>4.9708854935186439E-2</v>
      </c>
      <c r="D25" s="4">
        <f t="shared" ca="1" si="3"/>
        <v>4.851284470583582E-2</v>
      </c>
      <c r="E25" s="8">
        <f t="shared" ca="1" si="4"/>
        <v>3.1329999999999956</v>
      </c>
      <c r="F25" s="8" vm="66">
        <f t="shared" ca="1" si="5"/>
        <v>63.027000000000001</v>
      </c>
      <c r="AC25">
        <v>23</v>
      </c>
      <c r="AD25" s="4">
        <v>0.13529423949594138</v>
      </c>
      <c r="AF25">
        <v>23</v>
      </c>
      <c r="AG25" s="4">
        <v>6.7436595564907362E-3</v>
      </c>
      <c r="AI25">
        <v>23</v>
      </c>
      <c r="AJ25" s="4">
        <v>6.451420894405189E-3</v>
      </c>
    </row>
    <row r="26" spans="1:36" x14ac:dyDescent="0.35">
      <c r="A26" vm="69">
        <f ca="1"/>
        <v>45327</v>
      </c>
      <c r="B26" vm="70">
        <f ca="1"/>
        <v>69.331999999999994</v>
      </c>
      <c r="C26" s="4">
        <f t="shared" ca="1" si="2"/>
        <v>4.7944377267230914E-2</v>
      </c>
      <c r="D26" s="4">
        <f t="shared" ca="1" si="3"/>
        <v>4.6830509363628064E-2</v>
      </c>
      <c r="E26" s="8">
        <f t="shared" ca="1" si="4"/>
        <v>3.171999999999997</v>
      </c>
      <c r="F26" s="8" vm="68">
        <f t="shared" ca="1" si="5"/>
        <v>66.16</v>
      </c>
      <c r="AC26">
        <v>24</v>
      </c>
      <c r="AD26" s="4">
        <v>9.0678465523832602E-2</v>
      </c>
      <c r="AF26">
        <v>24</v>
      </c>
      <c r="AG26" s="4">
        <v>6.764350410908968E-3</v>
      </c>
      <c r="AI26">
        <v>24</v>
      </c>
      <c r="AJ26" s="4">
        <v>8.3986285742014694E-3</v>
      </c>
    </row>
    <row r="27" spans="1:36" x14ac:dyDescent="0.35">
      <c r="A27" vm="71">
        <f ca="1"/>
        <v>45328</v>
      </c>
      <c r="B27" vm="72">
        <f ca="1"/>
        <v>68.222999999999999</v>
      </c>
      <c r="C27" s="4">
        <f t="shared" ca="1" si="2"/>
        <v>-1.5995499913459797E-2</v>
      </c>
      <c r="D27" s="4">
        <f t="shared" ca="1" si="3"/>
        <v>-1.6124808681661912E-2</v>
      </c>
      <c r="E27" s="8">
        <f t="shared" ca="1" si="4"/>
        <v>-1.1089999999999947</v>
      </c>
      <c r="F27" s="8" vm="70">
        <f t="shared" ca="1" si="5"/>
        <v>69.331999999999994</v>
      </c>
      <c r="AC27">
        <v>25</v>
      </c>
      <c r="AD27" s="4">
        <v>7.559218723241197E-2</v>
      </c>
      <c r="AF27">
        <v>25</v>
      </c>
      <c r="AG27" s="4">
        <v>6.8300819413154353E-3</v>
      </c>
      <c r="AI27">
        <v>25</v>
      </c>
      <c r="AJ27" s="4">
        <v>7.520291837841195E-3</v>
      </c>
    </row>
    <row r="28" spans="1:36" x14ac:dyDescent="0.35">
      <c r="A28" vm="73">
        <f ca="1"/>
        <v>45329</v>
      </c>
      <c r="B28" vm="74">
        <f ca="1"/>
        <v>70.099000000000004</v>
      </c>
      <c r="C28" s="4">
        <f t="shared" ca="1" si="2"/>
        <v>2.7498057839731541E-2</v>
      </c>
      <c r="D28" s="4">
        <f t="shared" ca="1" si="3"/>
        <v>2.7126777206156222E-2</v>
      </c>
      <c r="E28" s="8">
        <f t="shared" ca="1" si="4"/>
        <v>1.8760000000000048</v>
      </c>
      <c r="F28" s="8" vm="72">
        <f t="shared" ca="1" si="5"/>
        <v>68.222999999999999</v>
      </c>
      <c r="AC28">
        <v>26</v>
      </c>
      <c r="AD28" s="4">
        <v>9.297797510092827E-2</v>
      </c>
      <c r="AF28">
        <v>26</v>
      </c>
      <c r="AG28" s="4">
        <v>6.8678344625042959E-3</v>
      </c>
      <c r="AI28">
        <v>26</v>
      </c>
      <c r="AJ28" s="4">
        <v>8.0671996953371912E-3</v>
      </c>
    </row>
    <row r="29" spans="1:36" x14ac:dyDescent="0.35">
      <c r="A29" vm="75">
        <f ca="1"/>
        <v>45330</v>
      </c>
      <c r="B29" vm="76">
        <f ca="1"/>
        <v>69.641000000000005</v>
      </c>
      <c r="C29" s="4">
        <f t="shared" ca="1" si="2"/>
        <v>-6.5336167420362396E-3</v>
      </c>
      <c r="D29" s="4">
        <f t="shared" ca="1" si="3"/>
        <v>-6.5550542431981138E-3</v>
      </c>
      <c r="E29" s="8">
        <f t="shared" ca="1" si="4"/>
        <v>-0.45799999999999841</v>
      </c>
      <c r="F29" s="8" vm="74">
        <f t="shared" ca="1" si="5"/>
        <v>70.099000000000004</v>
      </c>
      <c r="AC29">
        <v>27</v>
      </c>
      <c r="AD29" s="4">
        <v>6.3454742420499768E-2</v>
      </c>
      <c r="AF29">
        <v>27</v>
      </c>
      <c r="AG29" s="4">
        <v>6.7743408339444363E-3</v>
      </c>
      <c r="AI29">
        <v>27</v>
      </c>
      <c r="AJ29" s="4">
        <v>7.7731702678296207E-3</v>
      </c>
    </row>
    <row r="30" spans="1:36" x14ac:dyDescent="0.35">
      <c r="A30" vm="77">
        <f ca="1"/>
        <v>45331</v>
      </c>
      <c r="B30" vm="78">
        <f ca="1"/>
        <v>72.132999999999996</v>
      </c>
      <c r="C30" s="4">
        <f t="shared" ca="1" si="2"/>
        <v>3.5783518329719419E-2</v>
      </c>
      <c r="D30" s="4">
        <f t="shared" ca="1" si="3"/>
        <v>3.5158162861090761E-2</v>
      </c>
      <c r="E30" s="8">
        <f t="shared" ca="1" si="4"/>
        <v>2.4919999999999902</v>
      </c>
      <c r="F30" s="8" vm="76">
        <f t="shared" ca="1" si="5"/>
        <v>69.641000000000005</v>
      </c>
      <c r="AC30">
        <v>28</v>
      </c>
      <c r="AD30" s="4">
        <v>0.10775851355280382</v>
      </c>
      <c r="AF30">
        <v>28</v>
      </c>
      <c r="AG30" s="4">
        <v>6.8285435589431455E-3</v>
      </c>
      <c r="AI30">
        <v>28</v>
      </c>
      <c r="AJ30" s="4">
        <v>6.7059782946033855E-3</v>
      </c>
    </row>
    <row r="31" spans="1:36" x14ac:dyDescent="0.35">
      <c r="A31" vm="79">
        <f ca="1"/>
        <v>45334</v>
      </c>
      <c r="B31" vm="80">
        <f ca="1"/>
        <v>72.248000000000005</v>
      </c>
      <c r="C31" s="4">
        <f t="shared" ca="1" si="2"/>
        <v>1.5942772378801534E-3</v>
      </c>
      <c r="D31" s="4">
        <f t="shared" ca="1" si="3"/>
        <v>1.5930077270468425E-3</v>
      </c>
      <c r="E31" s="8">
        <f t="shared" ca="1" si="4"/>
        <v>0.11500000000000909</v>
      </c>
      <c r="F31" s="8" vm="78">
        <f t="shared" ca="1" si="5"/>
        <v>72.132999999999996</v>
      </c>
      <c r="AC31">
        <v>29</v>
      </c>
      <c r="AD31" s="4">
        <v>8.3988861303196868E-2</v>
      </c>
      <c r="AF31">
        <v>29</v>
      </c>
      <c r="AG31" s="4">
        <v>6.7803752292100398E-3</v>
      </c>
      <c r="AI31">
        <v>29</v>
      </c>
      <c r="AJ31" s="4">
        <v>8.2664391172652275E-3</v>
      </c>
    </row>
    <row r="32" spans="1:36" x14ac:dyDescent="0.35">
      <c r="A32" vm="81">
        <f ca="1"/>
        <v>45335</v>
      </c>
      <c r="B32" vm="82">
        <f ca="1"/>
        <v>72.128</v>
      </c>
      <c r="C32" s="4">
        <f t="shared" ca="1" si="2"/>
        <v>-1.6609456317130515E-3</v>
      </c>
      <c r="D32" s="4">
        <f t="shared" ca="1" si="3"/>
        <v>-1.662326531186588E-3</v>
      </c>
      <c r="E32" s="8">
        <f t="shared" ca="1" si="4"/>
        <v>-0.12000000000000455</v>
      </c>
      <c r="F32" s="8" vm="80">
        <f t="shared" ca="1" si="5"/>
        <v>72.248000000000005</v>
      </c>
      <c r="AC32">
        <v>30</v>
      </c>
      <c r="AD32" s="4">
        <v>9.1299974046449683E-2</v>
      </c>
      <c r="AF32">
        <v>30</v>
      </c>
      <c r="AG32" s="4">
        <v>6.6934054426046686E-3</v>
      </c>
      <c r="AI32">
        <v>30</v>
      </c>
      <c r="AJ32" s="4">
        <v>6.7381761104584274E-3</v>
      </c>
    </row>
    <row r="33" spans="1:36" x14ac:dyDescent="0.35">
      <c r="A33" vm="83">
        <f ca="1"/>
        <v>45336</v>
      </c>
      <c r="B33" vm="84">
        <f ca="1"/>
        <v>73.900000000000006</v>
      </c>
      <c r="C33" s="4">
        <f t="shared" ca="1" si="2"/>
        <v>2.4567435669920219E-2</v>
      </c>
      <c r="D33" s="4">
        <f t="shared" ca="1" si="3"/>
        <v>2.4270509536844988E-2</v>
      </c>
      <c r="E33" s="8">
        <f t="shared" ca="1" si="4"/>
        <v>1.7720000000000056</v>
      </c>
      <c r="F33" s="8" vm="82">
        <f t="shared" ca="1" si="5"/>
        <v>72.128</v>
      </c>
      <c r="AC33">
        <v>31</v>
      </c>
      <c r="AD33" s="4">
        <v>4.9560672614587263E-2</v>
      </c>
      <c r="AF33">
        <v>31</v>
      </c>
      <c r="AG33" s="4">
        <v>6.8002832138034297E-3</v>
      </c>
      <c r="AI33">
        <v>31</v>
      </c>
      <c r="AJ33" s="4">
        <v>6.0781655772920527E-3</v>
      </c>
    </row>
    <row r="34" spans="1:36" x14ac:dyDescent="0.35">
      <c r="A34" vm="85">
        <f ca="1"/>
        <v>45337</v>
      </c>
      <c r="B34" vm="86">
        <f ca="1"/>
        <v>72.658000000000001</v>
      </c>
      <c r="C34" s="4">
        <f ca="1">IFERROR((B34-B33)/B33,C33)</f>
        <v>-1.6806495263870153E-2</v>
      </c>
      <c r="D34" s="4">
        <f t="shared" ca="1" si="3"/>
        <v>-1.6949327000984164E-2</v>
      </c>
      <c r="E34" s="8">
        <f t="shared" ca="1" si="4"/>
        <v>-1.2420000000000044</v>
      </c>
      <c r="F34" s="8" vm="84">
        <f t="shared" ca="1" si="5"/>
        <v>73.900000000000006</v>
      </c>
      <c r="AC34">
        <v>32</v>
      </c>
      <c r="AD34" s="4">
        <v>9.9989841057617379E-2</v>
      </c>
      <c r="AF34">
        <v>32</v>
      </c>
      <c r="AG34" s="4">
        <v>6.8428605915476642E-3</v>
      </c>
      <c r="AI34">
        <v>32</v>
      </c>
      <c r="AJ34" s="4">
        <v>7.5072235915340287E-3</v>
      </c>
    </row>
    <row r="35" spans="1:36" x14ac:dyDescent="0.35">
      <c r="A35" vm="87">
        <f ca="1"/>
        <v>45338</v>
      </c>
      <c r="B35" vm="88">
        <f ca="1"/>
        <v>72.613</v>
      </c>
      <c r="C35" s="4">
        <f t="shared" ca="1" si="2"/>
        <v>-6.1933992127503792E-4</v>
      </c>
      <c r="D35" s="4">
        <f t="shared" ca="1" si="3"/>
        <v>-6.1953179147009973E-4</v>
      </c>
      <c r="E35" s="8">
        <f t="shared" ca="1" si="4"/>
        <v>-4.5000000000001705E-2</v>
      </c>
      <c r="F35" s="8" vm="86">
        <f t="shared" ca="1" si="5"/>
        <v>72.658000000000001</v>
      </c>
      <c r="AC35">
        <v>33</v>
      </c>
      <c r="AD35" s="4">
        <v>3.7512932307689387E-2</v>
      </c>
      <c r="AF35">
        <v>33</v>
      </c>
      <c r="AG35" s="4">
        <v>6.8134330845645687E-3</v>
      </c>
      <c r="AI35">
        <v>33</v>
      </c>
      <c r="AJ35" s="4">
        <v>7.8057514264876331E-3</v>
      </c>
    </row>
    <row r="36" spans="1:36" x14ac:dyDescent="0.35">
      <c r="A36" vm="89">
        <f ca="1"/>
        <v>45342</v>
      </c>
      <c r="B36" vm="90">
        <f ca="1"/>
        <v>69.451999999999998</v>
      </c>
      <c r="C36" s="4">
        <f t="shared" ca="1" si="2"/>
        <v>-4.3532149890515494E-2</v>
      </c>
      <c r="D36" s="4">
        <f t="shared" ca="1" si="3"/>
        <v>-4.45081026798105E-2</v>
      </c>
      <c r="E36" s="8">
        <f t="shared" ca="1" si="4"/>
        <v>-3.1610000000000014</v>
      </c>
      <c r="F36" s="8" vm="88">
        <f t="shared" ca="1" si="5"/>
        <v>72.613</v>
      </c>
      <c r="AC36">
        <v>34</v>
      </c>
      <c r="AD36" s="4">
        <v>4.1568469492128855E-2</v>
      </c>
      <c r="AF36">
        <v>34</v>
      </c>
      <c r="AG36" s="4">
        <v>6.7887391463618916E-3</v>
      </c>
      <c r="AI36">
        <v>34</v>
      </c>
      <c r="AJ36" s="4">
        <v>8.0558811317225712E-3</v>
      </c>
    </row>
    <row r="37" spans="1:36" x14ac:dyDescent="0.35">
      <c r="A37" vm="91">
        <f ca="1"/>
        <v>45343</v>
      </c>
      <c r="B37" vm="92">
        <f ca="1"/>
        <v>67.471999999999994</v>
      </c>
      <c r="C37" s="4">
        <f t="shared" ca="1" si="2"/>
        <v>-2.8508898231872429E-2</v>
      </c>
      <c r="D37" s="4">
        <f t="shared" ca="1" si="3"/>
        <v>-2.8923169477687381E-2</v>
      </c>
      <c r="E37" s="8">
        <f t="shared" ca="1" si="4"/>
        <v>-1.980000000000004</v>
      </c>
      <c r="F37" s="8" vm="90">
        <f t="shared" ca="1" si="5"/>
        <v>69.451999999999998</v>
      </c>
      <c r="AC37">
        <v>35</v>
      </c>
      <c r="AD37" s="4">
        <v>3.8435619326521418E-2</v>
      </c>
      <c r="AF37">
        <v>35</v>
      </c>
      <c r="AG37" s="4">
        <v>6.7954693390523038E-3</v>
      </c>
      <c r="AI37">
        <v>35</v>
      </c>
      <c r="AJ37" s="4">
        <v>6.6018748487428119E-3</v>
      </c>
    </row>
    <row r="38" spans="1:36" x14ac:dyDescent="0.35">
      <c r="A38" vm="93">
        <f ca="1"/>
        <v>45344</v>
      </c>
      <c r="B38" vm="94">
        <f ca="1"/>
        <v>78.537999999999997</v>
      </c>
      <c r="C38" s="4">
        <f t="shared" ca="1" si="2"/>
        <v>0.16400877400995975</v>
      </c>
      <c r="D38" s="4">
        <f t="shared" ca="1" si="3"/>
        <v>0.15186988709008079</v>
      </c>
      <c r="E38" s="8">
        <f t="shared" ca="1" si="4"/>
        <v>11.066000000000003</v>
      </c>
      <c r="F38" s="8" vm="92">
        <f t="shared" ca="1" si="5"/>
        <v>67.471999999999994</v>
      </c>
      <c r="AC38">
        <v>36</v>
      </c>
      <c r="AD38" s="4">
        <v>4.4075412372819214E-2</v>
      </c>
      <c r="AF38">
        <v>36</v>
      </c>
      <c r="AG38" s="4">
        <v>6.6775832769875223E-3</v>
      </c>
      <c r="AI38">
        <v>36</v>
      </c>
      <c r="AJ38" s="4">
        <v>7.7479519651180032E-3</v>
      </c>
    </row>
    <row r="39" spans="1:36" x14ac:dyDescent="0.35">
      <c r="A39" vm="95">
        <f ca="1"/>
        <v>45345</v>
      </c>
      <c r="B39" vm="96">
        <f ca="1"/>
        <v>78.816999999999993</v>
      </c>
      <c r="C39" s="4">
        <f t="shared" ca="1" si="2"/>
        <v>3.5524204843514779E-3</v>
      </c>
      <c r="D39" s="4">
        <f t="shared" ca="1" si="3"/>
        <v>3.5461255424846928E-3</v>
      </c>
      <c r="E39" s="8">
        <f t="shared" ca="1" si="4"/>
        <v>0.27899999999999636</v>
      </c>
      <c r="F39" s="8" vm="94">
        <f t="shared" ca="1" si="5"/>
        <v>78.537999999999997</v>
      </c>
      <c r="AC39">
        <v>37</v>
      </c>
      <c r="AD39" s="4">
        <v>0.13810455872914729</v>
      </c>
      <c r="AF39">
        <v>37</v>
      </c>
      <c r="AG39" s="4">
        <v>6.822632692404843E-3</v>
      </c>
      <c r="AI39">
        <v>37</v>
      </c>
      <c r="AJ39" s="4">
        <v>7.3555899664239565E-3</v>
      </c>
    </row>
    <row r="40" spans="1:36" x14ac:dyDescent="0.35">
      <c r="A40" vm="97">
        <f ca="1"/>
        <v>45348</v>
      </c>
      <c r="B40" vm="98">
        <f ca="1"/>
        <v>79.091999999999999</v>
      </c>
      <c r="C40" s="4">
        <f t="shared" ca="1" si="2"/>
        <v>3.4890949921971871E-3</v>
      </c>
      <c r="D40" s="4">
        <f t="shared" ca="1" si="3"/>
        <v>3.483022221813977E-3</v>
      </c>
      <c r="E40" s="8">
        <f t="shared" ca="1" si="4"/>
        <v>0.27500000000000568</v>
      </c>
      <c r="F40" s="8" vm="96">
        <f t="shared" ca="1" si="5"/>
        <v>78.816999999999993</v>
      </c>
      <c r="AC40">
        <v>38</v>
      </c>
      <c r="AD40" s="4">
        <v>8.8647661094385544E-2</v>
      </c>
      <c r="AF40">
        <v>38</v>
      </c>
      <c r="AG40" s="4">
        <v>6.7336403209694966E-3</v>
      </c>
      <c r="AI40">
        <v>38</v>
      </c>
      <c r="AJ40" s="4">
        <v>8.8690690868590064E-3</v>
      </c>
    </row>
    <row r="41" spans="1:36" x14ac:dyDescent="0.35">
      <c r="A41" vm="99">
        <f ca="1"/>
        <v>45349</v>
      </c>
      <c r="B41" vm="100">
        <f ca="1"/>
        <v>78.700999999999993</v>
      </c>
      <c r="C41" s="4">
        <f t="shared" ca="1" si="2"/>
        <v>-4.9436099731958397E-3</v>
      </c>
      <c r="D41" s="4">
        <f t="shared" ca="1" si="3"/>
        <v>-4.9558700356473976E-3</v>
      </c>
      <c r="E41" s="8">
        <f t="shared" ca="1" si="4"/>
        <v>-0.39100000000000534</v>
      </c>
      <c r="F41" s="8" vm="98">
        <f t="shared" ca="1" si="5"/>
        <v>79.091999999999999</v>
      </c>
      <c r="AC41">
        <v>39</v>
      </c>
      <c r="AD41" s="4">
        <v>3.5107792356044581E-2</v>
      </c>
      <c r="AF41">
        <v>39</v>
      </c>
      <c r="AG41" s="4">
        <v>6.8353143297966859E-3</v>
      </c>
      <c r="AI41">
        <v>39</v>
      </c>
      <c r="AJ41" s="4">
        <v>9.6159367098334943E-3</v>
      </c>
    </row>
    <row r="42" spans="1:36" x14ac:dyDescent="0.35">
      <c r="A42" vm="101">
        <f ca="1"/>
        <v>45350</v>
      </c>
      <c r="B42" vm="102">
        <f ca="1"/>
        <v>77.662999999999997</v>
      </c>
      <c r="C42" s="4">
        <f t="shared" ca="1" si="2"/>
        <v>-1.3189158968755121E-2</v>
      </c>
      <c r="D42" s="4">
        <f t="shared" ca="1" si="3"/>
        <v>-1.3276908340215485E-2</v>
      </c>
      <c r="E42" s="8">
        <f t="shared" ca="1" si="4"/>
        <v>-1.0379999999999967</v>
      </c>
      <c r="F42" s="8" vm="100">
        <f t="shared" ca="1" si="5"/>
        <v>78.700999999999993</v>
      </c>
      <c r="AC42">
        <v>40</v>
      </c>
      <c r="AD42" s="4">
        <v>4.3943406110345626E-2</v>
      </c>
      <c r="AF42">
        <v>40</v>
      </c>
      <c r="AG42" s="4">
        <v>6.8705279967220482E-3</v>
      </c>
      <c r="AI42">
        <v>40</v>
      </c>
      <c r="AJ42" s="4">
        <v>6.5542357047010998E-3</v>
      </c>
    </row>
    <row r="43" spans="1:36" x14ac:dyDescent="0.35">
      <c r="A43" vm="103">
        <f ca="1"/>
        <v>45351</v>
      </c>
      <c r="B43" vm="104">
        <f ca="1"/>
        <v>79.111999999999995</v>
      </c>
      <c r="C43" s="4">
        <f t="shared" ca="1" si="2"/>
        <v>1.8657533188262083E-2</v>
      </c>
      <c r="D43" s="4">
        <f t="shared" ca="1" si="3"/>
        <v>1.8485616484969339E-2</v>
      </c>
      <c r="E43" s="8">
        <f t="shared" ca="1" si="4"/>
        <v>1.4489999999999981</v>
      </c>
      <c r="F43" s="8" vm="102">
        <f t="shared" ca="1" si="5"/>
        <v>77.662999999999997</v>
      </c>
      <c r="AC43">
        <v>41</v>
      </c>
      <c r="AD43" s="4">
        <v>3.8985775751080858E-2</v>
      </c>
      <c r="AF43">
        <v>41</v>
      </c>
      <c r="AG43" s="4">
        <v>6.7975534840754269E-3</v>
      </c>
      <c r="AI43">
        <v>41</v>
      </c>
      <c r="AJ43" s="4">
        <v>8.5691000785025426E-3</v>
      </c>
    </row>
    <row r="44" spans="1:36" x14ac:dyDescent="0.35">
      <c r="A44" vm="105">
        <f ca="1"/>
        <v>45352</v>
      </c>
      <c r="B44" vm="106">
        <f ca="1"/>
        <v>82.278999999999996</v>
      </c>
      <c r="C44" s="4">
        <f t="shared" ca="1" si="2"/>
        <v>4.0031853574678956E-2</v>
      </c>
      <c r="D44" s="4">
        <f t="shared" ca="1" si="3"/>
        <v>3.9251341121431506E-2</v>
      </c>
      <c r="E44" s="8">
        <f t="shared" ca="1" si="4"/>
        <v>3.1670000000000016</v>
      </c>
      <c r="F44" s="8" vm="104">
        <f t="shared" ca="1" si="5"/>
        <v>79.111999999999995</v>
      </c>
      <c r="AC44">
        <v>42</v>
      </c>
      <c r="AD44" s="4">
        <v>6.9390979117405521E-2</v>
      </c>
      <c r="AF44">
        <v>42</v>
      </c>
      <c r="AG44" s="4">
        <v>6.775190854269913E-3</v>
      </c>
      <c r="AI44">
        <v>42</v>
      </c>
      <c r="AJ44" s="4">
        <v>6.9319698711235141E-3</v>
      </c>
    </row>
    <row r="45" spans="1:36" x14ac:dyDescent="0.35">
      <c r="A45" vm="107">
        <f ca="1"/>
        <v>45355</v>
      </c>
      <c r="B45" vm="108">
        <f ca="1"/>
        <v>85.236999999999995</v>
      </c>
      <c r="C45" s="4">
        <f t="shared" ca="1" si="2"/>
        <v>3.5950850156175919E-2</v>
      </c>
      <c r="D45" s="4">
        <f t="shared" ca="1" si="3"/>
        <v>3.5319700777693946E-2</v>
      </c>
      <c r="E45" s="8">
        <f t="shared" ca="1" si="4"/>
        <v>2.9579999999999984</v>
      </c>
      <c r="F45" s="8" vm="106">
        <f t="shared" ca="1" si="5"/>
        <v>82.278999999999996</v>
      </c>
      <c r="AC45">
        <v>43</v>
      </c>
      <c r="AD45" s="4">
        <v>5.421517031177453E-2</v>
      </c>
      <c r="AF45">
        <v>43</v>
      </c>
      <c r="AG45" s="4">
        <v>6.7575572888250498E-3</v>
      </c>
      <c r="AI45">
        <v>43</v>
      </c>
      <c r="AJ45" s="4">
        <v>8.7805060617212171E-3</v>
      </c>
    </row>
    <row r="46" spans="1:36" x14ac:dyDescent="0.35">
      <c r="A46" vm="109">
        <f ca="1"/>
        <v>45356</v>
      </c>
      <c r="B46" vm="110">
        <f ca="1"/>
        <v>85.963999999999999</v>
      </c>
      <c r="C46" s="4">
        <f t="shared" ca="1" si="2"/>
        <v>8.5291598718866685E-3</v>
      </c>
      <c r="D46" s="4">
        <f t="shared" ca="1" si="3"/>
        <v>8.4929920961442813E-3</v>
      </c>
      <c r="E46" s="8">
        <f t="shared" ca="1" si="4"/>
        <v>0.72700000000000387</v>
      </c>
      <c r="F46" s="8" vm="108">
        <f t="shared" ca="1" si="5"/>
        <v>85.236999999999995</v>
      </c>
      <c r="AC46">
        <v>44</v>
      </c>
      <c r="AD46" s="4">
        <v>4.8632581713190313E-2</v>
      </c>
      <c r="AF46">
        <v>44</v>
      </c>
      <c r="AG46" s="4">
        <v>6.7410402143442067E-3</v>
      </c>
      <c r="AI46">
        <v>44</v>
      </c>
      <c r="AJ46" s="4">
        <v>7.3017818380006179E-3</v>
      </c>
    </row>
    <row r="47" spans="1:36" x14ac:dyDescent="0.35">
      <c r="A47" vm="111">
        <f ca="1"/>
        <v>45357</v>
      </c>
      <c r="B47" vm="112">
        <f ca="1"/>
        <v>88.7</v>
      </c>
      <c r="C47" s="4">
        <f t="shared" ca="1" si="2"/>
        <v>3.182727653436327E-2</v>
      </c>
      <c r="D47" s="4">
        <f t="shared" ca="1" si="3"/>
        <v>3.133128535257422E-2</v>
      </c>
      <c r="E47" s="8">
        <f t="shared" ca="1" si="4"/>
        <v>2.7360000000000042</v>
      </c>
      <c r="F47" s="8" vm="110">
        <f t="shared" ca="1" si="5"/>
        <v>85.963999999999999</v>
      </c>
      <c r="AC47">
        <v>45</v>
      </c>
      <c r="AD47" s="4">
        <v>3.7273348254677388E-2</v>
      </c>
      <c r="AF47">
        <v>45</v>
      </c>
      <c r="AG47" s="4">
        <v>6.7728479785029751E-3</v>
      </c>
      <c r="AI47">
        <v>45</v>
      </c>
      <c r="AJ47" s="4">
        <v>7.4653717199583804E-3</v>
      </c>
    </row>
    <row r="48" spans="1:36" x14ac:dyDescent="0.35">
      <c r="A48" vm="113">
        <f ca="1"/>
        <v>45358</v>
      </c>
      <c r="B48" vm="114">
        <f ca="1"/>
        <v>92.668999999999997</v>
      </c>
      <c r="C48" s="4">
        <f t="shared" ca="1" si="2"/>
        <v>4.4746335963923266E-2</v>
      </c>
      <c r="D48" s="4">
        <f t="shared" ca="1" si="3"/>
        <v>4.3774115246101385E-2</v>
      </c>
      <c r="E48" s="8">
        <f t="shared" ca="1" si="4"/>
        <v>3.9689999999999941</v>
      </c>
      <c r="F48" s="8" vm="112">
        <f t="shared" ca="1" si="5"/>
        <v>88.7</v>
      </c>
      <c r="AC48">
        <v>46</v>
      </c>
      <c r="AD48" s="4">
        <v>0.18862906943948965</v>
      </c>
      <c r="AF48">
        <v>46</v>
      </c>
      <c r="AG48" s="4">
        <v>6.7241560366152232E-3</v>
      </c>
      <c r="AI48">
        <v>46</v>
      </c>
      <c r="AJ48" s="4">
        <v>7.3373383351670509E-3</v>
      </c>
    </row>
    <row r="49" spans="1:36" x14ac:dyDescent="0.35">
      <c r="A49" vm="115">
        <f ca="1"/>
        <v>45359</v>
      </c>
      <c r="B49" vm="116">
        <f ca="1"/>
        <v>87.528000000000006</v>
      </c>
      <c r="C49" s="4">
        <f t="shared" ca="1" si="2"/>
        <v>-5.5477020362796524E-2</v>
      </c>
      <c r="D49" s="4">
        <f t="shared" ca="1" si="3"/>
        <v>-5.7075262387146372E-2</v>
      </c>
      <c r="E49" s="8">
        <f t="shared" ca="1" si="4"/>
        <v>-5.1409999999999911</v>
      </c>
      <c r="F49" s="8" vm="114">
        <f t="shared" ca="1" si="5"/>
        <v>92.668999999999997</v>
      </c>
      <c r="AC49">
        <v>47</v>
      </c>
      <c r="AD49" s="4">
        <v>5.1115975082152931E-2</v>
      </c>
      <c r="AF49">
        <v>47</v>
      </c>
      <c r="AG49" s="4">
        <v>6.7632129477921549E-3</v>
      </c>
      <c r="AI49">
        <v>47</v>
      </c>
      <c r="AJ49" s="4">
        <v>8.386382955750454E-3</v>
      </c>
    </row>
    <row r="50" spans="1:36" x14ac:dyDescent="0.35">
      <c r="A50" vm="117">
        <f ca="1"/>
        <v>45362</v>
      </c>
      <c r="B50" vm="118">
        <f ca="1"/>
        <v>85.774000000000001</v>
      </c>
      <c r="C50" s="4">
        <f t="shared" ca="1" si="2"/>
        <v>-2.0039301709167408E-2</v>
      </c>
      <c r="D50" s="4">
        <f t="shared" ca="1" si="3"/>
        <v>-2.0242811906562481E-2</v>
      </c>
      <c r="E50" s="8">
        <f t="shared" ca="1" si="4"/>
        <v>-1.7540000000000049</v>
      </c>
      <c r="F50" s="8" vm="116">
        <f t="shared" ca="1" si="5"/>
        <v>87.528000000000006</v>
      </c>
      <c r="AC50">
        <v>48</v>
      </c>
      <c r="AD50" s="4">
        <v>0.11799294731106272</v>
      </c>
      <c r="AF50">
        <v>48</v>
      </c>
      <c r="AG50" s="4">
        <v>6.821416349325155E-3</v>
      </c>
      <c r="AI50">
        <v>48</v>
      </c>
      <c r="AJ50" s="4">
        <v>7.5625488899414232E-3</v>
      </c>
    </row>
    <row r="51" spans="1:36" x14ac:dyDescent="0.35">
      <c r="A51" vm="119">
        <f ca="1"/>
        <v>45363</v>
      </c>
      <c r="B51" vm="120">
        <f ca="1"/>
        <v>91.912999999999997</v>
      </c>
      <c r="C51" s="4">
        <f t="shared" ca="1" si="2"/>
        <v>7.1571804975866765E-2</v>
      </c>
      <c r="D51" s="4">
        <f t="shared" ca="1" si="3"/>
        <v>6.9126547196097954E-2</v>
      </c>
      <c r="E51" s="8">
        <f t="shared" ca="1" si="4"/>
        <v>6.1389999999999958</v>
      </c>
      <c r="F51" s="8" vm="118">
        <f t="shared" ca="1" si="5"/>
        <v>85.774000000000001</v>
      </c>
      <c r="AC51">
        <v>49</v>
      </c>
      <c r="AD51" s="4">
        <v>6.080082180115147E-2</v>
      </c>
      <c r="AF51">
        <v>49</v>
      </c>
      <c r="AG51" s="4">
        <v>6.8178961060400972E-3</v>
      </c>
      <c r="AI51">
        <v>49</v>
      </c>
      <c r="AJ51" s="4">
        <v>7.7162377701009083E-3</v>
      </c>
    </row>
    <row r="52" spans="1:36" x14ac:dyDescent="0.35">
      <c r="A52" vm="121">
        <f ca="1"/>
        <v>45364</v>
      </c>
      <c r="B52" vm="122">
        <f ca="1"/>
        <v>90.888000000000005</v>
      </c>
      <c r="C52" s="4">
        <f t="shared" ca="1" si="2"/>
        <v>-1.1151850119134306E-2</v>
      </c>
      <c r="D52" s="4">
        <f t="shared" ca="1" si="3"/>
        <v>-1.121449819642103E-2</v>
      </c>
      <c r="E52" s="8">
        <f t="shared" ca="1" si="4"/>
        <v>-1.0249999999999915</v>
      </c>
      <c r="F52" s="8" vm="120">
        <f t="shared" ca="1" si="5"/>
        <v>91.912999999999997</v>
      </c>
      <c r="AC52">
        <v>50</v>
      </c>
      <c r="AD52" s="4">
        <v>2.3443169243982216E-2</v>
      </c>
      <c r="AF52">
        <v>50</v>
      </c>
      <c r="AG52" s="4">
        <v>6.8328667012433342E-3</v>
      </c>
      <c r="AI52">
        <v>50</v>
      </c>
      <c r="AJ52" s="4">
        <v>6.684997740238877E-3</v>
      </c>
    </row>
    <row r="53" spans="1:36" x14ac:dyDescent="0.35">
      <c r="A53" vm="123">
        <f ca="1"/>
        <v>45365</v>
      </c>
      <c r="B53" vm="124">
        <f ca="1"/>
        <v>87.944000000000003</v>
      </c>
      <c r="C53" s="4">
        <f t="shared" ca="1" si="2"/>
        <v>-3.2391514831440919E-2</v>
      </c>
      <c r="D53" s="4">
        <f t="shared" ca="1" si="3"/>
        <v>-3.2927730991040724E-2</v>
      </c>
      <c r="E53" s="8">
        <f t="shared" ca="1" si="4"/>
        <v>-2.9440000000000026</v>
      </c>
      <c r="F53" s="8" vm="122">
        <f t="shared" ca="1" si="5"/>
        <v>90.888000000000005</v>
      </c>
      <c r="AC53">
        <v>51</v>
      </c>
      <c r="AD53" s="4">
        <v>5.5058516776739286E-2</v>
      </c>
      <c r="AF53">
        <v>51</v>
      </c>
      <c r="AG53" s="4">
        <v>6.8659970523199283E-3</v>
      </c>
      <c r="AI53">
        <v>51</v>
      </c>
      <c r="AJ53" s="4">
        <v>7.3422371712650427E-3</v>
      </c>
    </row>
    <row r="54" spans="1:36" x14ac:dyDescent="0.35">
      <c r="A54" vm="125">
        <f ca="1"/>
        <v>45366</v>
      </c>
      <c r="B54" vm="126">
        <f ca="1"/>
        <v>87.836500000000001</v>
      </c>
      <c r="C54" s="4">
        <f t="shared" ca="1" si="2"/>
        <v>-1.2223687801328311E-3</v>
      </c>
      <c r="D54" s="4">
        <f t="shared" ca="1" si="3"/>
        <v>-1.2231164822240454E-3</v>
      </c>
      <c r="E54" s="8">
        <f t="shared" ca="1" si="4"/>
        <v>-0.10750000000000171</v>
      </c>
      <c r="F54" s="8" vm="124">
        <f t="shared" ca="1" si="5"/>
        <v>87.944000000000003</v>
      </c>
      <c r="AC54">
        <v>52</v>
      </c>
      <c r="AD54" s="4">
        <v>8.401790910510018E-2</v>
      </c>
      <c r="AF54">
        <v>52</v>
      </c>
      <c r="AG54" s="4">
        <v>6.8070304845352335E-3</v>
      </c>
      <c r="AI54">
        <v>52</v>
      </c>
      <c r="AJ54" s="4">
        <v>8.095436607051686E-3</v>
      </c>
    </row>
    <row r="55" spans="1:36" x14ac:dyDescent="0.35">
      <c r="A55" vm="127">
        <f ca="1"/>
        <v>45369</v>
      </c>
      <c r="B55" vm="128">
        <f ca="1"/>
        <v>88.454999999999998</v>
      </c>
      <c r="C55" s="4">
        <f t="shared" ca="1" si="2"/>
        <v>7.0414918627221866E-3</v>
      </c>
      <c r="D55" s="4">
        <f t="shared" ca="1" si="3"/>
        <v>7.016816326238501E-3</v>
      </c>
      <c r="E55" s="8">
        <f t="shared" ca="1" si="4"/>
        <v>0.61849999999999739</v>
      </c>
      <c r="F55" s="8" vm="126">
        <f t="shared" ca="1" si="5"/>
        <v>87.836500000000001</v>
      </c>
      <c r="AC55">
        <v>53</v>
      </c>
      <c r="AD55" s="4">
        <v>2.2909067389766717E-2</v>
      </c>
      <c r="AF55">
        <v>53</v>
      </c>
      <c r="AG55" s="4">
        <v>6.8578534906093419E-3</v>
      </c>
      <c r="AI55">
        <v>53</v>
      </c>
      <c r="AJ55" s="4">
        <v>7.1949781027405534E-3</v>
      </c>
    </row>
    <row r="56" spans="1:36" x14ac:dyDescent="0.35">
      <c r="A56" vm="129">
        <f ca="1"/>
        <v>45370</v>
      </c>
      <c r="B56" vm="130">
        <f ca="1"/>
        <v>89.397999999999996</v>
      </c>
      <c r="C56" s="4">
        <f t="shared" ca="1" si="2"/>
        <v>1.0660787971284809E-2</v>
      </c>
      <c r="D56" s="4">
        <f t="shared" ca="1" si="3"/>
        <v>1.0604362443995301E-2</v>
      </c>
      <c r="E56" s="8">
        <f t="shared" ca="1" si="4"/>
        <v>0.94299999999999784</v>
      </c>
      <c r="F56" s="8" vm="128">
        <f t="shared" ca="1" si="5"/>
        <v>88.454999999999998</v>
      </c>
      <c r="AC56">
        <v>54</v>
      </c>
      <c r="AD56" s="4">
        <v>4.4628787307454426E-2</v>
      </c>
      <c r="AF56">
        <v>54</v>
      </c>
      <c r="AG56" s="4">
        <v>6.7114824197622991E-3</v>
      </c>
      <c r="AI56">
        <v>54</v>
      </c>
      <c r="AJ56" s="4">
        <v>9.0405532908440483E-3</v>
      </c>
    </row>
    <row r="57" spans="1:36" x14ac:dyDescent="0.35">
      <c r="A57" vm="131">
        <f ca="1"/>
        <v>45371</v>
      </c>
      <c r="B57" vm="132">
        <f ca="1"/>
        <v>90.372</v>
      </c>
      <c r="C57" s="4">
        <f t="shared" ca="1" si="2"/>
        <v>1.0895098324347343E-2</v>
      </c>
      <c r="D57" s="4">
        <f t="shared" ca="1" si="3"/>
        <v>1.0836174342642601E-2</v>
      </c>
      <c r="E57" s="8">
        <f t="shared" ca="1" si="4"/>
        <v>0.97400000000000375</v>
      </c>
      <c r="F57" s="8" vm="130">
        <f t="shared" ca="1" si="5"/>
        <v>89.397999999999996</v>
      </c>
      <c r="AC57">
        <v>55</v>
      </c>
      <c r="AD57" s="4">
        <v>5.5000072216654337E-2</v>
      </c>
      <c r="AF57">
        <v>55</v>
      </c>
      <c r="AG57" s="4">
        <v>6.7717800394630203E-3</v>
      </c>
      <c r="AI57">
        <v>55</v>
      </c>
      <c r="AJ57" s="4">
        <v>6.5799689009672646E-3</v>
      </c>
    </row>
    <row r="58" spans="1:36" x14ac:dyDescent="0.35">
      <c r="A58" vm="133">
        <f ca="1"/>
        <v>45372</v>
      </c>
      <c r="B58" vm="134">
        <f ca="1"/>
        <v>91.435000000000002</v>
      </c>
      <c r="C58" s="4">
        <f t="shared" ca="1" si="2"/>
        <v>1.1762492807506776E-2</v>
      </c>
      <c r="D58" s="4">
        <f t="shared" ca="1" si="3"/>
        <v>1.1693852419381397E-2</v>
      </c>
      <c r="E58" s="8">
        <f t="shared" ca="1" si="4"/>
        <v>1.0630000000000024</v>
      </c>
      <c r="F58" s="8" vm="132">
        <f t="shared" ca="1" si="5"/>
        <v>90.372</v>
      </c>
      <c r="AC58">
        <v>56</v>
      </c>
      <c r="AD58" s="4">
        <v>3.0436534716413954E-2</v>
      </c>
      <c r="AF58">
        <v>56</v>
      </c>
      <c r="AG58" s="4">
        <v>6.8162592503999827E-3</v>
      </c>
      <c r="AI58">
        <v>56</v>
      </c>
      <c r="AJ58" s="4">
        <v>7.240776775610672E-3</v>
      </c>
    </row>
    <row r="59" spans="1:36" x14ac:dyDescent="0.35">
      <c r="A59" vm="135">
        <f ca="1"/>
        <v>45373</v>
      </c>
      <c r="B59" vm="136">
        <f ca="1"/>
        <v>94.289000000000001</v>
      </c>
      <c r="C59" s="4">
        <f t="shared" ca="1" si="2"/>
        <v>3.1213430305681623E-2</v>
      </c>
      <c r="D59" s="4">
        <f t="shared" ca="1" si="3"/>
        <v>3.0736196516215848E-2</v>
      </c>
      <c r="E59" s="8">
        <f t="shared" ca="1" si="4"/>
        <v>2.8539999999999992</v>
      </c>
      <c r="F59" s="8" vm="134">
        <f t="shared" ca="1" si="5"/>
        <v>91.435000000000002</v>
      </c>
      <c r="AC59">
        <v>57</v>
      </c>
      <c r="AD59" s="4">
        <v>2.3006010992133223E-2</v>
      </c>
      <c r="AF59">
        <v>57</v>
      </c>
      <c r="AG59" s="4">
        <v>6.7574434142485132E-3</v>
      </c>
      <c r="AI59">
        <v>57</v>
      </c>
      <c r="AJ59" s="4">
        <v>7.9065727122027037E-3</v>
      </c>
    </row>
    <row r="60" spans="1:36" x14ac:dyDescent="0.35">
      <c r="A60" vm="137">
        <f ca="1"/>
        <v>45376</v>
      </c>
      <c r="B60" vm="138">
        <f ca="1"/>
        <v>95.001999999999995</v>
      </c>
      <c r="C60" s="4">
        <f t="shared" ca="1" si="2"/>
        <v>7.561857692837912E-3</v>
      </c>
      <c r="D60" s="4">
        <f t="shared" ca="1" si="3"/>
        <v>7.5334101677042142E-3</v>
      </c>
      <c r="E60" s="8">
        <f t="shared" ca="1" si="4"/>
        <v>0.71299999999999386</v>
      </c>
      <c r="F60" s="8" vm="136">
        <f t="shared" ca="1" si="5"/>
        <v>94.289000000000001</v>
      </c>
      <c r="AC60">
        <v>58</v>
      </c>
      <c r="AD60" s="4">
        <v>0.15350214679278767</v>
      </c>
      <c r="AF60">
        <v>58</v>
      </c>
      <c r="AG60" s="4">
        <v>6.7779570637071986E-3</v>
      </c>
      <c r="AI60">
        <v>58</v>
      </c>
      <c r="AJ60" s="4">
        <v>8.4713592392455014E-3</v>
      </c>
    </row>
    <row r="61" spans="1:36" x14ac:dyDescent="0.35">
      <c r="A61" vm="139">
        <f ca="1"/>
        <v>45377</v>
      </c>
      <c r="B61" vm="140">
        <f ca="1"/>
        <v>92.561000000000007</v>
      </c>
      <c r="C61" s="4">
        <f t="shared" ca="1" si="2"/>
        <v>-2.5694195911664896E-2</v>
      </c>
      <c r="D61" s="4">
        <f t="shared" ca="1" si="3"/>
        <v>-2.6030057380516999E-2</v>
      </c>
      <c r="E61" s="8">
        <f t="shared" ca="1" si="4"/>
        <v>-2.4409999999999883</v>
      </c>
      <c r="F61" s="8" vm="138">
        <f t="shared" ca="1" si="5"/>
        <v>95.001999999999995</v>
      </c>
      <c r="AC61">
        <v>59</v>
      </c>
      <c r="AD61" s="4">
        <v>9.6138079978942109E-2</v>
      </c>
      <c r="AF61">
        <v>59</v>
      </c>
      <c r="AG61" s="4">
        <v>6.7619572031418921E-3</v>
      </c>
      <c r="AI61">
        <v>59</v>
      </c>
      <c r="AJ61" s="4">
        <v>6.7364831712596667E-3</v>
      </c>
    </row>
    <row r="62" spans="1:36" x14ac:dyDescent="0.35">
      <c r="A62" vm="141">
        <f ca="1"/>
        <v>45378</v>
      </c>
      <c r="B62" vm="142">
        <f ca="1"/>
        <v>90.25</v>
      </c>
      <c r="C62" s="4">
        <f t="shared" ca="1" si="2"/>
        <v>-2.4967318849191417E-2</v>
      </c>
      <c r="D62" s="4">
        <f t="shared" ca="1" si="3"/>
        <v>-2.5284289417008922E-2</v>
      </c>
      <c r="E62" s="8">
        <f t="shared" ca="1" si="4"/>
        <v>-2.311000000000007</v>
      </c>
      <c r="F62" s="8" vm="140">
        <f t="shared" ca="1" si="5"/>
        <v>92.561000000000007</v>
      </c>
      <c r="AC62">
        <v>60</v>
      </c>
      <c r="AD62" s="4">
        <v>3.2109117192522983E-2</v>
      </c>
      <c r="AF62">
        <v>60</v>
      </c>
      <c r="AG62" s="4">
        <v>6.882343401315421E-3</v>
      </c>
      <c r="AI62">
        <v>60</v>
      </c>
      <c r="AJ62" s="4">
        <v>6.8854240102007502E-3</v>
      </c>
    </row>
    <row r="63" spans="1:36" x14ac:dyDescent="0.35">
      <c r="A63" vm="143">
        <f ca="1"/>
        <v>45379</v>
      </c>
      <c r="B63" vm="144">
        <f ca="1"/>
        <v>90.355999999999995</v>
      </c>
      <c r="C63" s="4">
        <f t="shared" ca="1" si="2"/>
        <v>1.1745152354570032E-3</v>
      </c>
      <c r="D63" s="4">
        <f t="shared" ca="1" si="3"/>
        <v>1.1738260320383049E-3</v>
      </c>
      <c r="E63" s="8">
        <f t="shared" ca="1" si="4"/>
        <v>0.10599999999999454</v>
      </c>
      <c r="F63" s="8" vm="142">
        <f t="shared" ca="1" si="5"/>
        <v>90.25</v>
      </c>
      <c r="AC63">
        <v>61</v>
      </c>
      <c r="AD63" s="4">
        <v>3.8898739410936398E-2</v>
      </c>
      <c r="AF63">
        <v>61</v>
      </c>
      <c r="AG63" s="4">
        <v>6.7867121451195746E-3</v>
      </c>
      <c r="AI63">
        <v>61</v>
      </c>
      <c r="AJ63" s="4">
        <v>7.0630435655283366E-3</v>
      </c>
    </row>
    <row r="64" spans="1:36" x14ac:dyDescent="0.35">
      <c r="A64" vm="145">
        <f ca="1"/>
        <v>45383</v>
      </c>
      <c r="B64" vm="146">
        <f ca="1"/>
        <v>90.363</v>
      </c>
      <c r="C64" s="4">
        <f t="shared" ca="1" si="2"/>
        <v>7.7471335605881211E-5</v>
      </c>
      <c r="D64" s="4">
        <f t="shared" ca="1" si="3"/>
        <v>7.7468334857043133E-5</v>
      </c>
      <c r="E64" s="8">
        <f t="shared" ca="1" si="4"/>
        <v>7.0000000000050022E-3</v>
      </c>
      <c r="F64" s="8" vm="144">
        <f t="shared" ca="1" si="5"/>
        <v>90.355999999999995</v>
      </c>
      <c r="AC64">
        <v>62</v>
      </c>
      <c r="AD64" s="4">
        <v>5.4224002425918141E-2</v>
      </c>
      <c r="AF64">
        <v>62</v>
      </c>
      <c r="AG64" s="4">
        <v>6.8615816538759762E-3</v>
      </c>
      <c r="AI64">
        <v>62</v>
      </c>
      <c r="AJ64" s="4">
        <v>8.1897935750214184E-3</v>
      </c>
    </row>
    <row r="65" spans="1:36" x14ac:dyDescent="0.35">
      <c r="A65" vm="147">
        <f ca="1"/>
        <v>45384</v>
      </c>
      <c r="B65" vm="148">
        <f ca="1"/>
        <v>89.451999999999998</v>
      </c>
      <c r="C65" s="4">
        <f t="shared" ca="1" si="2"/>
        <v>-1.0081559930502543E-2</v>
      </c>
      <c r="D65" s="4">
        <f t="shared" ca="1" si="3"/>
        <v>-1.0132723015414834E-2</v>
      </c>
      <c r="E65" s="8">
        <f t="shared" ca="1" si="4"/>
        <v>-0.91100000000000136</v>
      </c>
      <c r="F65" s="8" vm="146">
        <f t="shared" ca="1" si="5"/>
        <v>90.363</v>
      </c>
      <c r="AC65">
        <v>63</v>
      </c>
      <c r="AD65" s="4">
        <v>2.4661470403623383E-2</v>
      </c>
      <c r="AF65">
        <v>63</v>
      </c>
      <c r="AG65" s="4">
        <v>6.8950747957301781E-3</v>
      </c>
      <c r="AI65">
        <v>63</v>
      </c>
      <c r="AJ65" s="4">
        <v>7.4088123087135077E-3</v>
      </c>
    </row>
    <row r="66" spans="1:36" x14ac:dyDescent="0.35">
      <c r="A66" vm="149">
        <f ca="1"/>
        <v>45385</v>
      </c>
      <c r="B66" vm="150">
        <f ca="1"/>
        <v>88.963999999999999</v>
      </c>
      <c r="C66" s="4">
        <f t="shared" ca="1" si="2"/>
        <v>-5.4554397889370783E-3</v>
      </c>
      <c r="D66" s="4">
        <f t="shared" ca="1" si="3"/>
        <v>-5.4703750442731099E-3</v>
      </c>
      <c r="E66" s="8">
        <f t="shared" ca="1" si="4"/>
        <v>-0.48799999999999955</v>
      </c>
      <c r="F66" s="8" vm="148">
        <f t="shared" ca="1" si="5"/>
        <v>89.451999999999998</v>
      </c>
      <c r="AC66">
        <v>64</v>
      </c>
      <c r="AD66" s="4">
        <v>5.735151913099408E-2</v>
      </c>
      <c r="AF66">
        <v>64</v>
      </c>
      <c r="AG66" s="4">
        <v>6.856928175825735E-3</v>
      </c>
      <c r="AI66">
        <v>64</v>
      </c>
      <c r="AJ66" s="4">
        <v>7.7935651323127499E-3</v>
      </c>
    </row>
    <row r="67" spans="1:36" x14ac:dyDescent="0.35">
      <c r="A67" vm="151">
        <f ca="1"/>
        <v>45386</v>
      </c>
      <c r="B67" vm="152">
        <f ca="1"/>
        <v>85.905000000000001</v>
      </c>
      <c r="C67" s="4">
        <f t="shared" ca="1" si="2"/>
        <v>-3.4384694932781769E-2</v>
      </c>
      <c r="D67" s="4">
        <f t="shared" ca="1" si="3"/>
        <v>-3.4989759006267197E-2</v>
      </c>
      <c r="E67" s="8">
        <f t="shared" ca="1" si="4"/>
        <v>-3.0589999999999975</v>
      </c>
      <c r="F67" s="8" vm="150">
        <f t="shared" ca="1" si="5"/>
        <v>88.963999999999999</v>
      </c>
      <c r="AC67">
        <v>65</v>
      </c>
      <c r="AD67" s="4">
        <v>8.7029280729731609E-2</v>
      </c>
      <c r="AF67">
        <v>65</v>
      </c>
      <c r="AG67" s="4">
        <v>6.812111012693787E-3</v>
      </c>
      <c r="AI67">
        <v>65</v>
      </c>
      <c r="AJ67" s="4">
        <v>7.2998975067728204E-3</v>
      </c>
    </row>
    <row r="68" spans="1:36" x14ac:dyDescent="0.35">
      <c r="A68" vm="153">
        <f ca="1"/>
        <v>45387</v>
      </c>
      <c r="B68" vm="154">
        <f ca="1"/>
        <v>88.007999999999996</v>
      </c>
      <c r="C68" s="4">
        <f t="shared" ca="1" si="2"/>
        <v>2.4480530818927822E-2</v>
      </c>
      <c r="D68" s="4">
        <f t="shared" ca="1" si="3"/>
        <v>2.4185684923204137E-2</v>
      </c>
      <c r="E68" s="8">
        <f t="shared" ca="1" si="4"/>
        <v>2.1029999999999944</v>
      </c>
      <c r="F68" s="8" vm="152">
        <f t="shared" ca="1" si="5"/>
        <v>85.905000000000001</v>
      </c>
      <c r="AC68">
        <v>66</v>
      </c>
      <c r="AD68" s="4">
        <v>0.10746271805804619</v>
      </c>
      <c r="AF68">
        <v>66</v>
      </c>
      <c r="AG68" s="4">
        <v>6.7126611522599459E-3</v>
      </c>
      <c r="AI68">
        <v>66</v>
      </c>
      <c r="AJ68" s="4">
        <v>7.8835218186863055E-3</v>
      </c>
    </row>
    <row r="69" spans="1:36" x14ac:dyDescent="0.35">
      <c r="A69" vm="155">
        <f ca="1"/>
        <v>45390</v>
      </c>
      <c r="B69" vm="156">
        <f ca="1"/>
        <v>87.132999999999996</v>
      </c>
      <c r="C69" s="4">
        <f t="shared" ref="C69:C132" ca="1" si="10">IFERROR((B69-B68)/B68,C68)</f>
        <v>-9.9422779747295707E-3</v>
      </c>
      <c r="D69" s="4">
        <f t="shared" ref="D69:D132" ca="1" si="11">IFERROR(LN(B69/B68),D68)</f>
        <v>-9.9920324771455866E-3</v>
      </c>
      <c r="E69" s="8">
        <f t="shared" ref="E69:E132" ca="1" si="12">IFERROR(B69-B68,0)</f>
        <v>-0.875</v>
      </c>
      <c r="F69" s="8" vm="154">
        <f t="shared" ref="F69:F132" ca="1" si="13">IFERROR(B68,F68)</f>
        <v>88.007999999999996</v>
      </c>
      <c r="AC69">
        <v>67</v>
      </c>
      <c r="AD69" s="4">
        <v>4.0082182683443011E-2</v>
      </c>
      <c r="AF69">
        <v>67</v>
      </c>
      <c r="AG69" s="4">
        <v>6.9429580727838362E-3</v>
      </c>
      <c r="AI69">
        <v>67</v>
      </c>
      <c r="AJ69" s="4">
        <v>6.7308569058621174E-3</v>
      </c>
    </row>
    <row r="70" spans="1:36" x14ac:dyDescent="0.35">
      <c r="A70" vm="157">
        <f ca="1"/>
        <v>45391</v>
      </c>
      <c r="B70" vm="158">
        <f ca="1"/>
        <v>85.353999999999999</v>
      </c>
      <c r="C70" s="4">
        <f t="shared" ca="1" si="10"/>
        <v>-2.0417063569485687E-2</v>
      </c>
      <c r="D70" s="4">
        <f t="shared" ca="1" si="11"/>
        <v>-2.0628372971194464E-2</v>
      </c>
      <c r="E70" s="8">
        <f t="shared" ca="1" si="12"/>
        <v>-1.7789999999999964</v>
      </c>
      <c r="F70" s="8" vm="156">
        <f t="shared" ca="1" si="13"/>
        <v>87.132999999999996</v>
      </c>
      <c r="AC70">
        <v>68</v>
      </c>
      <c r="AD70" s="4">
        <v>6.3730337299630818E-2</v>
      </c>
      <c r="AF70">
        <v>68</v>
      </c>
      <c r="AG70" s="4">
        <v>6.6919052546595892E-3</v>
      </c>
      <c r="AI70">
        <v>68</v>
      </c>
      <c r="AJ70" s="4">
        <v>5.7464433737802051E-3</v>
      </c>
    </row>
    <row r="71" spans="1:36" x14ac:dyDescent="0.35">
      <c r="A71" vm="159">
        <f ca="1"/>
        <v>45392</v>
      </c>
      <c r="B71" vm="160">
        <f ca="1"/>
        <v>87.039000000000001</v>
      </c>
      <c r="C71" s="4">
        <f t="shared" ca="1" si="10"/>
        <v>1.9741312650842401E-2</v>
      </c>
      <c r="D71" s="4">
        <f t="shared" ca="1" si="11"/>
        <v>1.9548980082250998E-2</v>
      </c>
      <c r="E71" s="8">
        <f t="shared" ca="1" si="12"/>
        <v>1.6850000000000023</v>
      </c>
      <c r="F71" s="8" vm="158">
        <f t="shared" ca="1" si="13"/>
        <v>85.353999999999999</v>
      </c>
      <c r="AC71">
        <v>69</v>
      </c>
      <c r="AD71" s="4">
        <v>7.7532398344996825E-2</v>
      </c>
      <c r="AF71">
        <v>69</v>
      </c>
      <c r="AG71" s="4">
        <v>6.7712895867648752E-3</v>
      </c>
      <c r="AI71">
        <v>69</v>
      </c>
      <c r="AJ71" s="4">
        <v>7.3872433286323869E-3</v>
      </c>
    </row>
    <row r="72" spans="1:36" x14ac:dyDescent="0.35">
      <c r="A72" vm="161">
        <f ca="1"/>
        <v>45393</v>
      </c>
      <c r="B72" vm="162">
        <f ca="1"/>
        <v>90.616</v>
      </c>
      <c r="C72" s="4">
        <f t="shared" ca="1" si="10"/>
        <v>4.1096519950826617E-2</v>
      </c>
      <c r="D72" s="4">
        <f t="shared" ca="1" si="11"/>
        <v>4.0274503827366921E-2</v>
      </c>
      <c r="E72" s="8">
        <f t="shared" ca="1" si="12"/>
        <v>3.5769999999999982</v>
      </c>
      <c r="F72" s="8" vm="160">
        <f t="shared" ca="1" si="13"/>
        <v>87.039000000000001</v>
      </c>
      <c r="AC72">
        <v>70</v>
      </c>
      <c r="AD72" s="4">
        <v>5.7018817985441284E-2</v>
      </c>
      <c r="AF72">
        <v>70</v>
      </c>
      <c r="AG72" s="4">
        <v>6.8711634912932583E-3</v>
      </c>
      <c r="AI72">
        <v>70</v>
      </c>
      <c r="AJ72" s="4">
        <v>7.7923165916397898E-3</v>
      </c>
    </row>
    <row r="73" spans="1:36" x14ac:dyDescent="0.35">
      <c r="A73" vm="163">
        <f ca="1"/>
        <v>45394</v>
      </c>
      <c r="B73" vm="164">
        <f ca="1"/>
        <v>88.186000000000007</v>
      </c>
      <c r="C73" s="4">
        <f t="shared" ca="1" si="10"/>
        <v>-2.6816456254965929E-2</v>
      </c>
      <c r="D73" s="4">
        <f t="shared" ca="1" si="11"/>
        <v>-2.7182577643361856E-2</v>
      </c>
      <c r="E73" s="8">
        <f t="shared" ca="1" si="12"/>
        <v>-2.4299999999999926</v>
      </c>
      <c r="F73" s="8" vm="162">
        <f t="shared" ca="1" si="13"/>
        <v>90.616</v>
      </c>
      <c r="AC73">
        <v>71</v>
      </c>
      <c r="AD73" s="4">
        <v>2.8387314808466818E-2</v>
      </c>
      <c r="AF73">
        <v>71</v>
      </c>
      <c r="AG73" s="4">
        <v>6.9275834161562546E-3</v>
      </c>
      <c r="AI73">
        <v>71</v>
      </c>
      <c r="AJ73" s="4">
        <v>5.4901310322902058E-3</v>
      </c>
    </row>
    <row r="74" spans="1:36" x14ac:dyDescent="0.35">
      <c r="A74" vm="165">
        <f ca="1"/>
        <v>45397</v>
      </c>
      <c r="B74" vm="166">
        <f ca="1"/>
        <v>86.001000000000005</v>
      </c>
      <c r="C74" s="4">
        <f t="shared" ca="1" si="10"/>
        <v>-2.4777175515387953E-2</v>
      </c>
      <c r="D74" s="4">
        <f t="shared" ca="1" si="11"/>
        <v>-2.5089296162169691E-2</v>
      </c>
      <c r="E74" s="8">
        <f t="shared" ca="1" si="12"/>
        <v>-2.1850000000000023</v>
      </c>
      <c r="F74" s="8" vm="164">
        <f t="shared" ca="1" si="13"/>
        <v>88.186000000000007</v>
      </c>
      <c r="AC74">
        <v>72</v>
      </c>
      <c r="AD74" s="4">
        <v>8.4166904386355781E-2</v>
      </c>
      <c r="AF74">
        <v>72</v>
      </c>
      <c r="AG74" s="4">
        <v>6.7849063108158577E-3</v>
      </c>
      <c r="AI74">
        <v>72</v>
      </c>
      <c r="AJ74" s="4">
        <v>7.4232761812892617E-3</v>
      </c>
    </row>
    <row r="75" spans="1:36" x14ac:dyDescent="0.35">
      <c r="A75" vm="167">
        <f ca="1"/>
        <v>45398</v>
      </c>
      <c r="B75" vm="168">
        <f ca="1"/>
        <v>87.415000000000006</v>
      </c>
      <c r="C75" s="4">
        <f t="shared" ca="1" si="10"/>
        <v>1.6441669282915333E-2</v>
      </c>
      <c r="D75" s="4">
        <f t="shared" ca="1" si="11"/>
        <v>1.6307968556731254E-2</v>
      </c>
      <c r="E75" s="8">
        <f t="shared" ca="1" si="12"/>
        <v>1.4140000000000015</v>
      </c>
      <c r="F75" s="8" vm="166">
        <f t="shared" ca="1" si="13"/>
        <v>86.001000000000005</v>
      </c>
      <c r="AC75">
        <v>73</v>
      </c>
      <c r="AD75" s="4">
        <v>2.6124653825325934E-2</v>
      </c>
      <c r="AF75">
        <v>73</v>
      </c>
      <c r="AG75" s="4">
        <v>6.7639767587944636E-3</v>
      </c>
      <c r="AI75">
        <v>73</v>
      </c>
      <c r="AJ75" s="4">
        <v>7.8514570227785595E-3</v>
      </c>
    </row>
    <row r="76" spans="1:36" x14ac:dyDescent="0.35">
      <c r="A76" vm="169">
        <f ca="1"/>
        <v>45399</v>
      </c>
      <c r="B76" vm="170">
        <f ca="1"/>
        <v>84.034999999999997</v>
      </c>
      <c r="C76" s="4">
        <f t="shared" ca="1" si="10"/>
        <v>-3.8666132814734418E-2</v>
      </c>
      <c r="D76" s="4">
        <f t="shared" ca="1" si="11"/>
        <v>-3.9433513921082471E-2</v>
      </c>
      <c r="E76" s="8">
        <f t="shared" ca="1" si="12"/>
        <v>-3.3800000000000097</v>
      </c>
      <c r="F76" s="8" vm="168">
        <f t="shared" ca="1" si="13"/>
        <v>87.415000000000006</v>
      </c>
      <c r="AC76">
        <v>74</v>
      </c>
      <c r="AD76" s="4">
        <v>6.8339682838389898E-2</v>
      </c>
      <c r="AF76">
        <v>74</v>
      </c>
      <c r="AG76" s="4">
        <v>6.845280302606665E-3</v>
      </c>
      <c r="AI76">
        <v>74</v>
      </c>
      <c r="AJ76" s="4">
        <v>5.5541634304818741E-3</v>
      </c>
    </row>
    <row r="77" spans="1:36" x14ac:dyDescent="0.35">
      <c r="A77" vm="171">
        <f ca="1"/>
        <v>45400</v>
      </c>
      <c r="B77" vm="172">
        <f ca="1"/>
        <v>84.671000000000006</v>
      </c>
      <c r="C77" s="4">
        <f t="shared" ca="1" si="10"/>
        <v>7.5682751234605805E-3</v>
      </c>
      <c r="D77" s="4">
        <f t="shared" ca="1" si="11"/>
        <v>7.5397794145513307E-3</v>
      </c>
      <c r="E77" s="8">
        <f t="shared" ca="1" si="12"/>
        <v>0.63600000000000989</v>
      </c>
      <c r="F77" s="8" vm="170">
        <f t="shared" ca="1" si="13"/>
        <v>84.034999999999997</v>
      </c>
      <c r="AC77">
        <v>75</v>
      </c>
      <c r="AD77" s="4">
        <v>6.15927212781784E-2</v>
      </c>
      <c r="AF77">
        <v>75</v>
      </c>
      <c r="AG77" s="4">
        <v>6.7557932136443214E-3</v>
      </c>
      <c r="AI77">
        <v>75</v>
      </c>
      <c r="AJ77" s="4">
        <v>6.2910427695175514E-3</v>
      </c>
    </row>
    <row r="78" spans="1:36" x14ac:dyDescent="0.35">
      <c r="A78" vm="173">
        <f ca="1"/>
        <v>45401</v>
      </c>
      <c r="B78" vm="174">
        <f ca="1"/>
        <v>76.2</v>
      </c>
      <c r="C78" s="4">
        <f t="shared" ca="1" si="10"/>
        <v>-0.10004606063469196</v>
      </c>
      <c r="D78" s="4">
        <f t="shared" ca="1" si="11"/>
        <v>-0.10541169545048067</v>
      </c>
      <c r="E78" s="8">
        <f t="shared" ca="1" si="12"/>
        <v>-8.4710000000000036</v>
      </c>
      <c r="F78" s="8" vm="172">
        <f t="shared" ca="1" si="13"/>
        <v>84.671000000000006</v>
      </c>
      <c r="AC78">
        <v>76</v>
      </c>
      <c r="AD78" s="4">
        <v>2.6070011580557544E-2</v>
      </c>
      <c r="AF78">
        <v>76</v>
      </c>
      <c r="AG78" s="4">
        <v>6.7919616206082141E-3</v>
      </c>
      <c r="AI78">
        <v>76</v>
      </c>
      <c r="AJ78" s="4">
        <v>7.4845274348515119E-3</v>
      </c>
    </row>
    <row r="79" spans="1:36" x14ac:dyDescent="0.35">
      <c r="A79" vm="175">
        <f ca="1"/>
        <v>45404</v>
      </c>
      <c r="B79" vm="176">
        <f ca="1"/>
        <v>79.518000000000001</v>
      </c>
      <c r="C79" s="4">
        <f t="shared" ca="1" si="10"/>
        <v>4.3543307086614143E-2</v>
      </c>
      <c r="D79" s="4">
        <f t="shared" ca="1" si="11"/>
        <v>4.2621948433996158E-2</v>
      </c>
      <c r="E79" s="8">
        <f t="shared" ca="1" si="12"/>
        <v>3.3179999999999978</v>
      </c>
      <c r="F79" s="8" vm="174">
        <f t="shared" ca="1" si="13"/>
        <v>76.2</v>
      </c>
      <c r="AC79">
        <v>77</v>
      </c>
      <c r="AD79" s="4">
        <v>0.11380740033750711</v>
      </c>
      <c r="AF79">
        <v>77</v>
      </c>
      <c r="AG79" s="4">
        <v>6.9044371597933307E-3</v>
      </c>
      <c r="AI79">
        <v>77</v>
      </c>
      <c r="AJ79" s="4">
        <v>7.4236435536868175E-3</v>
      </c>
    </row>
    <row r="80" spans="1:36" x14ac:dyDescent="0.35">
      <c r="A80" vm="177">
        <f ca="1"/>
        <v>45405</v>
      </c>
      <c r="B80" vm="178">
        <f ca="1"/>
        <v>82.423000000000002</v>
      </c>
      <c r="C80" s="4">
        <f t="shared" ca="1" si="10"/>
        <v>3.6532608969038469E-2</v>
      </c>
      <c r="D80" s="4">
        <f t="shared" ca="1" si="11"/>
        <v>3.5881113053947616E-2</v>
      </c>
      <c r="E80" s="8">
        <f t="shared" ca="1" si="12"/>
        <v>2.9050000000000011</v>
      </c>
      <c r="F80" s="8" vm="176">
        <f t="shared" ca="1" si="13"/>
        <v>79.518000000000001</v>
      </c>
      <c r="AC80">
        <v>78</v>
      </c>
      <c r="AD80" s="4">
        <v>2.0854217080269473E-2</v>
      </c>
      <c r="AF80">
        <v>78</v>
      </c>
      <c r="AG80" s="4">
        <v>6.7672251063720466E-3</v>
      </c>
      <c r="AI80">
        <v>78</v>
      </c>
      <c r="AJ80" s="4">
        <v>7.2643398284732152E-3</v>
      </c>
    </row>
    <row r="81" spans="1:36" x14ac:dyDescent="0.35">
      <c r="A81" vm="179">
        <f ca="1"/>
        <v>45406</v>
      </c>
      <c r="B81" vm="180">
        <f ca="1"/>
        <v>79.677000000000007</v>
      </c>
      <c r="C81" s="4">
        <f t="shared" ca="1" si="10"/>
        <v>-3.3315943365322724E-2</v>
      </c>
      <c r="D81" s="4">
        <f t="shared" ca="1" si="11"/>
        <v>-3.3883562215412728E-2</v>
      </c>
      <c r="E81" s="8">
        <f t="shared" ca="1" si="12"/>
        <v>-2.7459999999999951</v>
      </c>
      <c r="F81" s="8" vm="178">
        <f t="shared" ca="1" si="13"/>
        <v>82.423000000000002</v>
      </c>
      <c r="AC81">
        <v>79</v>
      </c>
      <c r="AD81" s="4">
        <v>0.11947923884354172</v>
      </c>
      <c r="AF81">
        <v>79</v>
      </c>
      <c r="AG81" s="4">
        <v>6.8270828013381355E-3</v>
      </c>
      <c r="AI81">
        <v>79</v>
      </c>
      <c r="AJ81" s="4">
        <v>7.4893422805851284E-3</v>
      </c>
    </row>
    <row r="82" spans="1:36" x14ac:dyDescent="0.35">
      <c r="A82" vm="181">
        <f ca="1"/>
        <v>45407</v>
      </c>
      <c r="B82" vm="182">
        <f ca="1"/>
        <v>82.632000000000005</v>
      </c>
      <c r="C82" s="4">
        <f t="shared" ca="1" si="10"/>
        <v>3.708723973041151E-2</v>
      </c>
      <c r="D82" s="4">
        <f t="shared" ca="1" si="11"/>
        <v>3.6416052739200969E-2</v>
      </c>
      <c r="E82" s="8">
        <f t="shared" ca="1" si="12"/>
        <v>2.9549999999999983</v>
      </c>
      <c r="F82" s="8" vm="180">
        <f t="shared" ca="1" si="13"/>
        <v>79.677000000000007</v>
      </c>
      <c r="AC82">
        <v>80</v>
      </c>
      <c r="AD82" s="4">
        <v>7.8733821394826944E-2</v>
      </c>
      <c r="AF82">
        <v>80</v>
      </c>
      <c r="AG82" s="4">
        <v>6.6999309238632019E-3</v>
      </c>
      <c r="AI82">
        <v>80</v>
      </c>
      <c r="AJ82" s="4">
        <v>1.127495791515414E-2</v>
      </c>
    </row>
    <row r="83" spans="1:36" x14ac:dyDescent="0.35">
      <c r="A83" vm="183">
        <f ca="1"/>
        <v>45408</v>
      </c>
      <c r="B83" vm="184">
        <f ca="1"/>
        <v>87.734999999999999</v>
      </c>
      <c r="C83" s="4">
        <f t="shared" ca="1" si="10"/>
        <v>6.1755736276502979E-2</v>
      </c>
      <c r="D83" s="4">
        <f t="shared" ca="1" si="11"/>
        <v>5.9923892858766314E-2</v>
      </c>
      <c r="E83" s="8">
        <f t="shared" ca="1" si="12"/>
        <v>5.1029999999999944</v>
      </c>
      <c r="F83" s="8" vm="182">
        <f t="shared" ca="1" si="13"/>
        <v>82.632000000000005</v>
      </c>
      <c r="AC83">
        <v>81</v>
      </c>
      <c r="AD83" s="4">
        <v>0.13075584003569801</v>
      </c>
      <c r="AF83">
        <v>81</v>
      </c>
      <c r="AG83" s="4">
        <v>6.9124672672957969E-3</v>
      </c>
      <c r="AI83">
        <v>81</v>
      </c>
      <c r="AJ83" s="4">
        <v>8.2178467227644689E-3</v>
      </c>
    </row>
    <row r="84" spans="1:36" x14ac:dyDescent="0.35">
      <c r="A84" vm="185">
        <f ca="1"/>
        <v>45411</v>
      </c>
      <c r="B84" vm="186">
        <f ca="1"/>
        <v>87.757000000000005</v>
      </c>
      <c r="C84" s="4">
        <f t="shared" ca="1" si="10"/>
        <v>2.5075511483450813E-4</v>
      </c>
      <c r="D84" s="4">
        <f t="shared" ca="1" si="11"/>
        <v>2.5072368102539683E-4</v>
      </c>
      <c r="E84" s="8">
        <f t="shared" ca="1" si="12"/>
        <v>2.2000000000005571E-2</v>
      </c>
      <c r="F84" s="8" vm="184">
        <f t="shared" ca="1" si="13"/>
        <v>87.734999999999999</v>
      </c>
      <c r="AC84">
        <v>82</v>
      </c>
      <c r="AD84" s="4">
        <v>0.17592998808075419</v>
      </c>
      <c r="AF84">
        <v>82</v>
      </c>
      <c r="AG84" s="4">
        <v>6.9047342728428126E-3</v>
      </c>
      <c r="AI84">
        <v>82</v>
      </c>
      <c r="AJ84" s="4">
        <v>5.1781679470207726E-3</v>
      </c>
    </row>
    <row r="85" spans="1:36" x14ac:dyDescent="0.35">
      <c r="A85" vm="187">
        <f ca="1"/>
        <v>45412</v>
      </c>
      <c r="B85" vm="188">
        <f ca="1"/>
        <v>86.402000000000001</v>
      </c>
      <c r="C85" s="4">
        <f t="shared" ca="1" si="10"/>
        <v>-1.5440363731668174E-2</v>
      </c>
      <c r="D85" s="4">
        <f t="shared" ca="1" si="11"/>
        <v>-1.5560807553880278E-2</v>
      </c>
      <c r="E85" s="8">
        <f t="shared" ca="1" si="12"/>
        <v>-1.355000000000004</v>
      </c>
      <c r="F85" s="8" vm="186">
        <f t="shared" ca="1" si="13"/>
        <v>87.757000000000005</v>
      </c>
      <c r="AC85">
        <v>83</v>
      </c>
      <c r="AD85" s="4">
        <v>0.1272908364723902</v>
      </c>
      <c r="AF85">
        <v>83</v>
      </c>
      <c r="AG85" s="4">
        <v>6.7896565536478748E-3</v>
      </c>
      <c r="AI85">
        <v>83</v>
      </c>
      <c r="AJ85" s="4">
        <v>6.6322716773440709E-3</v>
      </c>
    </row>
    <row r="86" spans="1:36" x14ac:dyDescent="0.35">
      <c r="A86" vm="189">
        <f ca="1"/>
        <v>45413</v>
      </c>
      <c r="B86" vm="190">
        <f ca="1"/>
        <v>83.040999999999997</v>
      </c>
      <c r="C86" s="4">
        <f t="shared" ca="1" si="10"/>
        <v>-3.8899562510127127E-2</v>
      </c>
      <c r="D86" s="4">
        <f t="shared" ca="1" si="11"/>
        <v>-3.9676361955964384E-2</v>
      </c>
      <c r="E86" s="8">
        <f t="shared" ca="1" si="12"/>
        <v>-3.3610000000000042</v>
      </c>
      <c r="F86" s="8" vm="188">
        <f t="shared" ca="1" si="13"/>
        <v>86.402000000000001</v>
      </c>
      <c r="AC86">
        <v>84</v>
      </c>
      <c r="AD86" s="4">
        <v>2.703751454811306E-2</v>
      </c>
      <c r="AF86">
        <v>84</v>
      </c>
      <c r="AG86" s="4">
        <v>6.7827565329780046E-3</v>
      </c>
      <c r="AI86">
        <v>84</v>
      </c>
      <c r="AJ86" s="4">
        <v>6.6130453207414045E-3</v>
      </c>
    </row>
    <row r="87" spans="1:36" x14ac:dyDescent="0.35">
      <c r="A87" vm="191">
        <f ca="1"/>
        <v>45414</v>
      </c>
      <c r="B87" vm="192">
        <f ca="1"/>
        <v>85.816999999999993</v>
      </c>
      <c r="C87" s="4">
        <f t="shared" ca="1" si="10"/>
        <v>3.3429269878734555E-2</v>
      </c>
      <c r="D87" s="4">
        <f t="shared" ca="1" si="11"/>
        <v>3.2882660331586287E-2</v>
      </c>
      <c r="E87" s="8">
        <f t="shared" ca="1" si="12"/>
        <v>2.7759999999999962</v>
      </c>
      <c r="F87" s="8" vm="190">
        <f t="shared" ca="1" si="13"/>
        <v>83.040999999999997</v>
      </c>
      <c r="AC87">
        <v>85</v>
      </c>
      <c r="AD87" s="4">
        <v>6.363050381687621E-2</v>
      </c>
      <c r="AF87">
        <v>85</v>
      </c>
      <c r="AG87" s="4">
        <v>6.7638446510145805E-3</v>
      </c>
      <c r="AI87">
        <v>85</v>
      </c>
      <c r="AJ87" s="4">
        <v>7.58568036932784E-3</v>
      </c>
    </row>
    <row r="88" spans="1:36" x14ac:dyDescent="0.35">
      <c r="A88" vm="193">
        <f ca="1"/>
        <v>45415</v>
      </c>
      <c r="B88" vm="194">
        <f ca="1"/>
        <v>88.789000000000001</v>
      </c>
      <c r="C88" s="4">
        <f t="shared" ca="1" si="10"/>
        <v>3.4631832853630501E-2</v>
      </c>
      <c r="D88" s="4">
        <f t="shared" ca="1" si="11"/>
        <v>3.4045646385382898E-2</v>
      </c>
      <c r="E88" s="8">
        <f t="shared" ca="1" si="12"/>
        <v>2.9720000000000084</v>
      </c>
      <c r="F88" s="8" vm="192">
        <f t="shared" ca="1" si="13"/>
        <v>85.816999999999993</v>
      </c>
      <c r="AC88">
        <v>86</v>
      </c>
      <c r="AD88" s="4">
        <v>4.1546116376881936E-2</v>
      </c>
      <c r="AF88">
        <v>86</v>
      </c>
      <c r="AG88" s="4">
        <v>6.7185314266760303E-3</v>
      </c>
      <c r="AI88">
        <v>86</v>
      </c>
      <c r="AJ88" s="4">
        <v>7.4164015882125121E-3</v>
      </c>
    </row>
    <row r="89" spans="1:36" x14ac:dyDescent="0.35">
      <c r="A89" vm="195">
        <f ca="1"/>
        <v>45418</v>
      </c>
      <c r="B89" vm="196">
        <f ca="1"/>
        <v>92.14</v>
      </c>
      <c r="C89" s="4">
        <f t="shared" ca="1" si="10"/>
        <v>3.7741161630382131E-2</v>
      </c>
      <c r="D89" s="4">
        <f t="shared" ca="1" si="11"/>
        <v>3.7046391056522465E-2</v>
      </c>
      <c r="E89" s="8">
        <f t="shared" ca="1" si="12"/>
        <v>3.3509999999999991</v>
      </c>
      <c r="F89" s="8" vm="194">
        <f t="shared" ca="1" si="13"/>
        <v>88.789000000000001</v>
      </c>
      <c r="AC89">
        <v>87</v>
      </c>
      <c r="AD89" s="4">
        <v>0.11814023535957952</v>
      </c>
      <c r="AF89">
        <v>87</v>
      </c>
      <c r="AG89" s="4">
        <v>6.6512587994145885E-3</v>
      </c>
      <c r="AI89">
        <v>87</v>
      </c>
      <c r="AJ89" s="4">
        <v>7.5368168205459185E-3</v>
      </c>
    </row>
    <row r="90" spans="1:36" x14ac:dyDescent="0.35">
      <c r="A90" vm="197">
        <f ca="1"/>
        <v>45419</v>
      </c>
      <c r="B90" vm="198">
        <f ca="1"/>
        <v>90.554000000000002</v>
      </c>
      <c r="C90" s="4">
        <f t="shared" ca="1" si="10"/>
        <v>-1.721293683525069E-2</v>
      </c>
      <c r="D90" s="4">
        <f t="shared" ca="1" si="11"/>
        <v>-1.7362801664780089E-2</v>
      </c>
      <c r="E90" s="8">
        <f t="shared" ca="1" si="12"/>
        <v>-1.5859999999999985</v>
      </c>
      <c r="F90" s="8" vm="196">
        <f t="shared" ca="1" si="13"/>
        <v>92.14</v>
      </c>
      <c r="AC90">
        <v>88</v>
      </c>
      <c r="AD90" s="4">
        <v>4.5450249035428006E-2</v>
      </c>
      <c r="AF90">
        <v>88</v>
      </c>
      <c r="AG90" s="4">
        <v>6.717253624650265E-3</v>
      </c>
      <c r="AI90">
        <v>88</v>
      </c>
      <c r="AJ90" s="4">
        <v>7.3481214169639382E-3</v>
      </c>
    </row>
    <row r="91" spans="1:36" x14ac:dyDescent="0.35">
      <c r="A91" vm="199">
        <f ca="1"/>
        <v>45420</v>
      </c>
      <c r="B91" vm="200">
        <f ca="1"/>
        <v>90.412000000000006</v>
      </c>
      <c r="C91" s="4">
        <f t="shared" ca="1" si="10"/>
        <v>-1.5681250966273815E-3</v>
      </c>
      <c r="D91" s="4">
        <f t="shared" ca="1" si="11"/>
        <v>-1.5693558916487305E-3</v>
      </c>
      <c r="E91" s="8">
        <f t="shared" ca="1" si="12"/>
        <v>-0.14199999999999591</v>
      </c>
      <c r="F91" s="8" vm="198">
        <f t="shared" ca="1" si="13"/>
        <v>90.554000000000002</v>
      </c>
      <c r="AC91">
        <v>89</v>
      </c>
      <c r="AD91" s="4">
        <v>7.7610830979950335E-2</v>
      </c>
      <c r="AF91">
        <v>89</v>
      </c>
      <c r="AG91" s="4">
        <v>6.855018814715009E-3</v>
      </c>
      <c r="AI91">
        <v>89</v>
      </c>
      <c r="AJ91" s="4">
        <v>6.6406412010217349E-3</v>
      </c>
    </row>
    <row r="92" spans="1:36" x14ac:dyDescent="0.35">
      <c r="A92" vm="201">
        <f ca="1"/>
        <v>45421</v>
      </c>
      <c r="B92" vm="202">
        <f ca="1"/>
        <v>88.747</v>
      </c>
      <c r="C92" s="4">
        <f t="shared" ca="1" si="10"/>
        <v>-1.8415697031367584E-2</v>
      </c>
      <c r="D92" s="4">
        <f t="shared" ca="1" si="11"/>
        <v>-1.8587376984046475E-2</v>
      </c>
      <c r="E92" s="8">
        <f t="shared" ca="1" si="12"/>
        <v>-1.6650000000000063</v>
      </c>
      <c r="F92" s="8" vm="200">
        <f t="shared" ca="1" si="13"/>
        <v>90.412000000000006</v>
      </c>
      <c r="AC92">
        <v>90</v>
      </c>
      <c r="AD92" s="4">
        <v>6.8142977855533762E-2</v>
      </c>
      <c r="AF92">
        <v>90</v>
      </c>
      <c r="AG92" s="4">
        <v>6.7382451150855638E-3</v>
      </c>
      <c r="AI92">
        <v>90</v>
      </c>
      <c r="AJ92" s="4">
        <v>7.9684346265127704E-3</v>
      </c>
    </row>
    <row r="93" spans="1:36" x14ac:dyDescent="0.35">
      <c r="A93" vm="203">
        <f ca="1"/>
        <v>45422</v>
      </c>
      <c r="B93" vm="204">
        <f ca="1"/>
        <v>89.878</v>
      </c>
      <c r="C93" s="4">
        <f t="shared" ca="1" si="10"/>
        <v>1.2744092758065064E-2</v>
      </c>
      <c r="D93" s="4">
        <f t="shared" ca="1" si="11"/>
        <v>1.2663570210844997E-2</v>
      </c>
      <c r="E93" s="8">
        <f t="shared" ca="1" si="12"/>
        <v>1.1310000000000002</v>
      </c>
      <c r="F93" s="8" vm="202">
        <f t="shared" ca="1" si="13"/>
        <v>88.747</v>
      </c>
      <c r="AC93">
        <v>91</v>
      </c>
      <c r="AD93" s="4">
        <v>4.3643661343971511E-2</v>
      </c>
      <c r="AF93">
        <v>91</v>
      </c>
      <c r="AG93" s="4">
        <v>6.7740676515951441E-3</v>
      </c>
      <c r="AI93">
        <v>91</v>
      </c>
      <c r="AJ93" s="4">
        <v>7.5267735387869877E-3</v>
      </c>
    </row>
    <row r="94" spans="1:36" x14ac:dyDescent="0.35">
      <c r="A94" vm="205">
        <f ca="1"/>
        <v>45425</v>
      </c>
      <c r="B94" vm="206">
        <f ca="1"/>
        <v>90.399000000000001</v>
      </c>
      <c r="C94" s="4">
        <f t="shared" ca="1" si="10"/>
        <v>5.7967467010837E-3</v>
      </c>
      <c r="D94" s="4">
        <f t="shared" ca="1" si="11"/>
        <v>5.7800102119038039E-3</v>
      </c>
      <c r="E94" s="8">
        <f t="shared" ca="1" si="12"/>
        <v>0.5210000000000008</v>
      </c>
      <c r="F94" s="8" vm="204">
        <f t="shared" ca="1" si="13"/>
        <v>89.878</v>
      </c>
      <c r="AC94">
        <v>92</v>
      </c>
      <c r="AD94" s="4">
        <v>6.2489405910819938E-2</v>
      </c>
      <c r="AF94">
        <v>92</v>
      </c>
      <c r="AG94" s="4">
        <v>6.8798885381531807E-3</v>
      </c>
      <c r="AI94">
        <v>92</v>
      </c>
      <c r="AJ94" s="4">
        <v>7.1526596430573101E-3</v>
      </c>
    </row>
    <row r="95" spans="1:36" x14ac:dyDescent="0.35">
      <c r="A95" vm="207">
        <f ca="1"/>
        <v>45426</v>
      </c>
      <c r="B95" vm="208">
        <f ca="1"/>
        <v>91.355999999999995</v>
      </c>
      <c r="C95" s="4">
        <f t="shared" ca="1" si="10"/>
        <v>1.0586400292038558E-2</v>
      </c>
      <c r="D95" s="4">
        <f t="shared" ca="1" si="11"/>
        <v>1.0530756722031461E-2</v>
      </c>
      <c r="E95" s="8">
        <f t="shared" ca="1" si="12"/>
        <v>0.95699999999999363</v>
      </c>
      <c r="F95" s="8" vm="206">
        <f t="shared" ca="1" si="13"/>
        <v>90.399000000000001</v>
      </c>
      <c r="AC95">
        <v>93</v>
      </c>
      <c r="AD95" s="4">
        <v>5.1428995617612792E-2</v>
      </c>
      <c r="AF95">
        <v>93</v>
      </c>
      <c r="AG95" s="4">
        <v>6.8498140153476963E-3</v>
      </c>
      <c r="AI95">
        <v>93</v>
      </c>
      <c r="AJ95" s="4">
        <v>6.7806065039604825E-3</v>
      </c>
    </row>
    <row r="96" spans="1:36" x14ac:dyDescent="0.35">
      <c r="A96" vm="209">
        <f ca="1"/>
        <v>45427</v>
      </c>
      <c r="B96" vm="210">
        <f ca="1"/>
        <v>94.63</v>
      </c>
      <c r="C96" s="4">
        <f t="shared" ca="1" si="10"/>
        <v>3.5837821270633577E-2</v>
      </c>
      <c r="D96" s="4">
        <f t="shared" ca="1" si="11"/>
        <v>3.5210588408065527E-2</v>
      </c>
      <c r="E96" s="8">
        <f t="shared" ca="1" si="12"/>
        <v>3.2740000000000009</v>
      </c>
      <c r="F96" s="8" vm="208">
        <f t="shared" ca="1" si="13"/>
        <v>91.355999999999995</v>
      </c>
      <c r="AC96">
        <v>94</v>
      </c>
      <c r="AD96" s="4">
        <v>3.8685382111129242E-2</v>
      </c>
      <c r="AF96">
        <v>94</v>
      </c>
      <c r="AG96" s="4">
        <v>6.7012683018885556E-3</v>
      </c>
      <c r="AI96">
        <v>94</v>
      </c>
      <c r="AJ96" s="4">
        <v>5.9952335948371812E-3</v>
      </c>
    </row>
    <row r="97" spans="1:36" x14ac:dyDescent="0.35">
      <c r="A97" vm="211">
        <f ca="1"/>
        <v>45428</v>
      </c>
      <c r="B97" vm="212">
        <f ca="1"/>
        <v>94.358999999999995</v>
      </c>
      <c r="C97" s="4">
        <f t="shared" ca="1" si="10"/>
        <v>-2.8637852689422046E-3</v>
      </c>
      <c r="D97" s="4">
        <f t="shared" ca="1" si="11"/>
        <v>-2.8678937477175826E-3</v>
      </c>
      <c r="E97" s="8">
        <f t="shared" ca="1" si="12"/>
        <v>-0.2710000000000008</v>
      </c>
      <c r="F97" s="8" vm="210">
        <f t="shared" ca="1" si="13"/>
        <v>94.63</v>
      </c>
      <c r="AC97">
        <v>95</v>
      </c>
      <c r="AD97" s="4">
        <v>4.9637505060856416E-2</v>
      </c>
      <c r="AF97">
        <v>95</v>
      </c>
      <c r="AG97" s="4">
        <v>6.7212192850038101E-3</v>
      </c>
      <c r="AI97">
        <v>95</v>
      </c>
      <c r="AJ97" s="4">
        <v>7.5056749374176144E-3</v>
      </c>
    </row>
    <row r="98" spans="1:36" x14ac:dyDescent="0.35">
      <c r="A98" vm="213">
        <f ca="1"/>
        <v>45429</v>
      </c>
      <c r="B98" vm="214">
        <f ca="1"/>
        <v>92.478999999999999</v>
      </c>
      <c r="C98" s="4">
        <f t="shared" ca="1" si="10"/>
        <v>-1.9923907629372881E-2</v>
      </c>
      <c r="D98" s="4">
        <f t="shared" ca="1" si="11"/>
        <v>-2.012506505560778E-2</v>
      </c>
      <c r="E98" s="8">
        <f t="shared" ca="1" si="12"/>
        <v>-1.8799999999999955</v>
      </c>
      <c r="F98" s="8" vm="212">
        <f t="shared" ca="1" si="13"/>
        <v>94.358999999999995</v>
      </c>
      <c r="AC98">
        <v>96</v>
      </c>
      <c r="AD98" s="4">
        <v>0.16170611132806864</v>
      </c>
      <c r="AF98">
        <v>96</v>
      </c>
      <c r="AG98" s="4">
        <v>6.7407622653835189E-3</v>
      </c>
      <c r="AI98">
        <v>96</v>
      </c>
      <c r="AJ98" s="4">
        <v>6.7722550354682746E-3</v>
      </c>
    </row>
    <row r="99" spans="1:36" x14ac:dyDescent="0.35">
      <c r="A99" vm="215">
        <f ca="1"/>
        <v>45432</v>
      </c>
      <c r="B99" vm="216">
        <f ca="1"/>
        <v>94.78</v>
      </c>
      <c r="C99" s="4">
        <f t="shared" ca="1" si="10"/>
        <v>2.4881324408784718E-2</v>
      </c>
      <c r="D99" s="4">
        <f t="shared" ca="1" si="11"/>
        <v>2.4576824822626301E-2</v>
      </c>
      <c r="E99" s="8">
        <f t="shared" ca="1" si="12"/>
        <v>2.3010000000000019</v>
      </c>
      <c r="F99" s="8" vm="214">
        <f t="shared" ca="1" si="13"/>
        <v>92.478999999999999</v>
      </c>
      <c r="AC99">
        <v>97</v>
      </c>
      <c r="AD99" s="4">
        <v>2.6336542494937165E-2</v>
      </c>
      <c r="AF99">
        <v>97</v>
      </c>
      <c r="AG99" s="4">
        <v>6.8495433383405245E-3</v>
      </c>
      <c r="AI99">
        <v>97</v>
      </c>
      <c r="AJ99" s="4">
        <v>7.0226345471461329E-3</v>
      </c>
    </row>
    <row r="100" spans="1:36" x14ac:dyDescent="0.35">
      <c r="A100" vm="217">
        <f ca="1"/>
        <v>45433</v>
      </c>
      <c r="B100" vm="218">
        <f ca="1"/>
        <v>95.385999999999996</v>
      </c>
      <c r="C100" s="4">
        <f t="shared" ca="1" si="10"/>
        <v>6.3937539565308557E-3</v>
      </c>
      <c r="D100" s="4">
        <f t="shared" ca="1" si="11"/>
        <v>6.3734006217777929E-3</v>
      </c>
      <c r="E100" s="8">
        <f t="shared" ca="1" si="12"/>
        <v>0.60599999999999454</v>
      </c>
      <c r="F100" s="8" vm="216">
        <f t="shared" ca="1" si="13"/>
        <v>94.78</v>
      </c>
      <c r="AC100">
        <v>98</v>
      </c>
      <c r="AD100" s="4">
        <v>2.9950168629667828E-2</v>
      </c>
      <c r="AF100">
        <v>98</v>
      </c>
      <c r="AG100" s="4">
        <v>6.7734641800100007E-3</v>
      </c>
      <c r="AI100">
        <v>98</v>
      </c>
      <c r="AJ100" s="4">
        <v>7.1831817506707437E-3</v>
      </c>
    </row>
    <row r="101" spans="1:36" x14ac:dyDescent="0.35">
      <c r="A101" vm="219">
        <f ca="1"/>
        <v>45434</v>
      </c>
      <c r="B101" vm="220">
        <f ca="1"/>
        <v>94.95</v>
      </c>
      <c r="C101" s="4">
        <f t="shared" ca="1" si="10"/>
        <v>-4.5709013901410363E-3</v>
      </c>
      <c r="D101" s="4">
        <f t="shared" ca="1" si="11"/>
        <v>-4.58137990292514E-3</v>
      </c>
      <c r="E101" s="8">
        <f t="shared" ca="1" si="12"/>
        <v>-0.43599999999999284</v>
      </c>
      <c r="F101" s="8" vm="218">
        <f t="shared" ca="1" si="13"/>
        <v>95.385999999999996</v>
      </c>
      <c r="AC101">
        <v>99</v>
      </c>
      <c r="AD101" s="4">
        <v>2.8076449986228241E-2</v>
      </c>
      <c r="AF101">
        <v>99</v>
      </c>
      <c r="AG101" s="4">
        <v>6.8203143486338658E-3</v>
      </c>
      <c r="AI101">
        <v>99</v>
      </c>
      <c r="AJ101" s="4">
        <v>6.3842737149987887E-3</v>
      </c>
    </row>
    <row r="102" spans="1:36" x14ac:dyDescent="0.35">
      <c r="A102" vm="221">
        <f ca="1"/>
        <v>45435</v>
      </c>
      <c r="B102" vm="222">
        <f ca="1"/>
        <v>103.79900000000001</v>
      </c>
      <c r="C102" s="4">
        <f t="shared" ca="1" si="10"/>
        <v>9.3196419167983185E-2</v>
      </c>
      <c r="D102" s="4">
        <f t="shared" ca="1" si="11"/>
        <v>8.9105899515719053E-2</v>
      </c>
      <c r="E102" s="8">
        <f t="shared" ca="1" si="12"/>
        <v>8.8490000000000038</v>
      </c>
      <c r="F102" s="8" vm="220">
        <f t="shared" ca="1" si="13"/>
        <v>94.95</v>
      </c>
      <c r="AC102">
        <v>100</v>
      </c>
      <c r="AD102" s="4">
        <v>5.4329075575716132E-2</v>
      </c>
      <c r="AF102">
        <v>100</v>
      </c>
      <c r="AG102" s="4">
        <v>6.7775631413274995E-3</v>
      </c>
      <c r="AI102">
        <v>100</v>
      </c>
      <c r="AJ102" s="4">
        <v>5.994929442332886E-3</v>
      </c>
    </row>
    <row r="103" spans="1:36" x14ac:dyDescent="0.35">
      <c r="A103" vm="223">
        <f ca="1"/>
        <v>45436</v>
      </c>
      <c r="B103" vm="224">
        <f ca="1"/>
        <v>106.46899999999999</v>
      </c>
      <c r="C103" s="4">
        <f t="shared" ca="1" si="10"/>
        <v>2.5722791163691243E-2</v>
      </c>
      <c r="D103" s="4">
        <f t="shared" ca="1" si="11"/>
        <v>2.5397526191308143E-2</v>
      </c>
      <c r="E103" s="8">
        <f t="shared" ca="1" si="12"/>
        <v>2.6699999999999875</v>
      </c>
      <c r="F103" s="8" vm="222">
        <f t="shared" ca="1" si="13"/>
        <v>103.79900000000001</v>
      </c>
      <c r="AC103">
        <v>101</v>
      </c>
      <c r="AD103" s="4">
        <v>5.1328922156721392E-2</v>
      </c>
      <c r="AF103">
        <v>101</v>
      </c>
      <c r="AG103" s="4">
        <v>6.716428506673866E-3</v>
      </c>
      <c r="AI103">
        <v>101</v>
      </c>
      <c r="AJ103" s="4">
        <v>7.2364701064076102E-3</v>
      </c>
    </row>
    <row r="104" spans="1:36" x14ac:dyDescent="0.35">
      <c r="A104" vm="225">
        <f ca="1"/>
        <v>45440</v>
      </c>
      <c r="B104" vm="226">
        <f ca="1"/>
        <v>113.901</v>
      </c>
      <c r="C104" s="4">
        <f t="shared" ca="1" si="10"/>
        <v>6.980435619757866E-2</v>
      </c>
      <c r="D104" s="4">
        <f t="shared" ca="1" si="11"/>
        <v>6.7475787080529218E-2</v>
      </c>
      <c r="E104" s="8">
        <f t="shared" ca="1" si="12"/>
        <v>7.4320000000000022</v>
      </c>
      <c r="F104" s="8" vm="224">
        <f t="shared" ca="1" si="13"/>
        <v>106.46899999999999</v>
      </c>
      <c r="AC104">
        <v>102</v>
      </c>
      <c r="AD104" s="4">
        <v>3.3820585753983411E-2</v>
      </c>
      <c r="AF104">
        <v>102</v>
      </c>
      <c r="AG104" s="4">
        <v>6.6807184893497573E-3</v>
      </c>
      <c r="AI104">
        <v>102</v>
      </c>
      <c r="AJ104" s="4">
        <v>7.0441506859335147E-3</v>
      </c>
    </row>
    <row r="105" spans="1:36" x14ac:dyDescent="0.35">
      <c r="A105" vm="227">
        <f ca="1"/>
        <v>45441</v>
      </c>
      <c r="B105" vm="228">
        <f ca="1"/>
        <v>114.825</v>
      </c>
      <c r="C105" s="4">
        <f t="shared" ca="1" si="10"/>
        <v>8.1123080569969232E-3</v>
      </c>
      <c r="D105" s="4">
        <f t="shared" ca="1" si="11"/>
        <v>8.0795801660059896E-3</v>
      </c>
      <c r="E105" s="8">
        <f t="shared" ca="1" si="12"/>
        <v>0.92400000000000659</v>
      </c>
      <c r="F105" s="8" vm="226">
        <f t="shared" ca="1" si="13"/>
        <v>113.901</v>
      </c>
      <c r="AC105">
        <v>103</v>
      </c>
      <c r="AD105" s="4">
        <v>7.1587227383338156E-2</v>
      </c>
      <c r="AF105">
        <v>103</v>
      </c>
      <c r="AG105" s="4">
        <v>6.8107209252118222E-3</v>
      </c>
      <c r="AI105">
        <v>103</v>
      </c>
      <c r="AJ105" s="4">
        <v>7.9113687035252071E-3</v>
      </c>
    </row>
    <row r="106" spans="1:36" x14ac:dyDescent="0.35">
      <c r="A106" vm="229">
        <f ca="1"/>
        <v>45442</v>
      </c>
      <c r="B106" vm="230">
        <f ca="1"/>
        <v>110.5</v>
      </c>
      <c r="C106" s="4">
        <f t="shared" ca="1" si="10"/>
        <v>-3.7666013498802546E-2</v>
      </c>
      <c r="D106" s="4">
        <f t="shared" ca="1" si="11"/>
        <v>-3.8393709254049606E-2</v>
      </c>
      <c r="E106" s="8">
        <f t="shared" ca="1" si="12"/>
        <v>-4.3250000000000028</v>
      </c>
      <c r="F106" s="8" vm="228">
        <f t="shared" ca="1" si="13"/>
        <v>114.825</v>
      </c>
      <c r="AC106">
        <v>104</v>
      </c>
      <c r="AD106" s="4">
        <v>5.8162188451222306E-2</v>
      </c>
      <c r="AF106">
        <v>104</v>
      </c>
      <c r="AG106" s="4">
        <v>6.837523050794065E-3</v>
      </c>
      <c r="AI106">
        <v>104</v>
      </c>
      <c r="AJ106" s="4">
        <v>7.5303436339354685E-3</v>
      </c>
    </row>
    <row r="107" spans="1:36" x14ac:dyDescent="0.35">
      <c r="A107" vm="231">
        <f ca="1"/>
        <v>45443</v>
      </c>
      <c r="B107" vm="232">
        <f ca="1"/>
        <v>109.633</v>
      </c>
      <c r="C107" s="4">
        <f t="shared" ca="1" si="10"/>
        <v>-7.8461538461538863E-3</v>
      </c>
      <c r="D107" s="4">
        <f t="shared" ca="1" si="11"/>
        <v>-7.8770968733510877E-3</v>
      </c>
      <c r="E107" s="8">
        <f t="shared" ca="1" si="12"/>
        <v>-0.86700000000000443</v>
      </c>
      <c r="F107" s="8" vm="230">
        <f t="shared" ca="1" si="13"/>
        <v>110.5</v>
      </c>
      <c r="AC107">
        <v>105</v>
      </c>
      <c r="AD107" s="4">
        <v>2.6032532411784937E-2</v>
      </c>
      <c r="AF107">
        <v>105</v>
      </c>
      <c r="AG107" s="4">
        <v>6.7557569420774351E-3</v>
      </c>
      <c r="AI107">
        <v>105</v>
      </c>
      <c r="AJ107" s="4">
        <v>7.8058603063440512E-3</v>
      </c>
    </row>
    <row r="108" spans="1:36" x14ac:dyDescent="0.35">
      <c r="A108" vm="233">
        <f ca="1"/>
        <v>45446</v>
      </c>
      <c r="B108" vm="234">
        <f ca="1"/>
        <v>115</v>
      </c>
      <c r="C108" s="4">
        <f t="shared" ca="1" si="10"/>
        <v>4.8954238231189558E-2</v>
      </c>
      <c r="D108" s="4">
        <f t="shared" ca="1" si="11"/>
        <v>4.7793704278793744E-2</v>
      </c>
      <c r="E108" s="8">
        <f t="shared" ca="1" si="12"/>
        <v>5.3670000000000044</v>
      </c>
      <c r="F108" s="8" vm="232">
        <f t="shared" ca="1" si="13"/>
        <v>109.633</v>
      </c>
      <c r="AC108">
        <v>106</v>
      </c>
      <c r="AD108" s="4">
        <v>3.3580549437695992E-2</v>
      </c>
      <c r="AF108">
        <v>106</v>
      </c>
      <c r="AG108" s="4">
        <v>6.751695012181997E-3</v>
      </c>
      <c r="AI108">
        <v>106</v>
      </c>
      <c r="AJ108" s="4">
        <v>6.4326081778504638E-3</v>
      </c>
    </row>
    <row r="109" spans="1:36" x14ac:dyDescent="0.35">
      <c r="A109" vm="235">
        <f ca="1"/>
        <v>45447</v>
      </c>
      <c r="B109" vm="236">
        <f ca="1"/>
        <v>116.437</v>
      </c>
      <c r="C109" s="4">
        <f t="shared" ca="1" si="10"/>
        <v>1.2495652173913022E-2</v>
      </c>
      <c r="D109" s="4">
        <f t="shared" ca="1" si="11"/>
        <v>1.2418225840115558E-2</v>
      </c>
      <c r="E109" s="8">
        <f t="shared" ca="1" si="12"/>
        <v>1.4369999999999976</v>
      </c>
      <c r="F109" s="8" vm="234">
        <f t="shared" ca="1" si="13"/>
        <v>115</v>
      </c>
      <c r="AC109">
        <v>107</v>
      </c>
      <c r="AD109" s="4">
        <v>6.0474175333377324E-2</v>
      </c>
      <c r="AF109">
        <v>107</v>
      </c>
      <c r="AG109" s="4">
        <v>6.7371904151192728E-3</v>
      </c>
      <c r="AI109">
        <v>107</v>
      </c>
      <c r="AJ109" s="4">
        <v>5.3647943268733461E-3</v>
      </c>
    </row>
    <row r="110" spans="1:36" x14ac:dyDescent="0.35">
      <c r="A110" vm="237">
        <f ca="1"/>
        <v>45448</v>
      </c>
      <c r="B110" vm="238">
        <f ca="1"/>
        <v>122.44</v>
      </c>
      <c r="C110" s="4">
        <f t="shared" ca="1" si="10"/>
        <v>5.1555776943754995E-2</v>
      </c>
      <c r="D110" s="4">
        <f t="shared" ca="1" si="11"/>
        <v>5.0270759873846028E-2</v>
      </c>
      <c r="E110" s="8">
        <f t="shared" ca="1" si="12"/>
        <v>6.0030000000000001</v>
      </c>
      <c r="F110" s="8" vm="236">
        <f t="shared" ca="1" si="13"/>
        <v>116.437</v>
      </c>
      <c r="AC110">
        <v>108</v>
      </c>
      <c r="AD110" s="4">
        <v>0.12855261757762487</v>
      </c>
      <c r="AF110">
        <v>108</v>
      </c>
      <c r="AG110" s="4">
        <v>6.8311993756724537E-3</v>
      </c>
      <c r="AI110">
        <v>108</v>
      </c>
      <c r="AJ110" s="4">
        <v>6.3676907337592457E-3</v>
      </c>
    </row>
    <row r="111" spans="1:36" x14ac:dyDescent="0.35">
      <c r="A111" vm="239">
        <f ca="1"/>
        <v>45449</v>
      </c>
      <c r="B111" vm="240">
        <f ca="1"/>
        <v>120.998</v>
      </c>
      <c r="C111" s="4">
        <f t="shared" ca="1" si="10"/>
        <v>-1.1777196994446203E-2</v>
      </c>
      <c r="D111" s="4">
        <f t="shared" ca="1" si="11"/>
        <v>-1.1847097542694677E-2</v>
      </c>
      <c r="E111" s="8">
        <f t="shared" ca="1" si="12"/>
        <v>-1.4419999999999931</v>
      </c>
      <c r="F111" s="8" vm="238">
        <f t="shared" ca="1" si="13"/>
        <v>122.44</v>
      </c>
      <c r="AC111">
        <v>109</v>
      </c>
      <c r="AD111" s="4">
        <v>6.4051893280646435E-2</v>
      </c>
      <c r="AF111">
        <v>109</v>
      </c>
      <c r="AG111" s="4">
        <v>6.7267456121606452E-3</v>
      </c>
      <c r="AI111">
        <v>109</v>
      </c>
      <c r="AJ111" s="4">
        <v>6.6899379623454108E-3</v>
      </c>
    </row>
    <row r="112" spans="1:36" x14ac:dyDescent="0.35">
      <c r="A112" vm="241">
        <f ca="1"/>
        <v>45450</v>
      </c>
      <c r="B112" vm="242">
        <f ca="1"/>
        <v>120.88800000000001</v>
      </c>
      <c r="C112" s="4">
        <f t="shared" ca="1" si="10"/>
        <v>-9.0910593563529505E-4</v>
      </c>
      <c r="D112" s="4">
        <f t="shared" ca="1" si="11"/>
        <v>-9.09519423057991E-4</v>
      </c>
      <c r="E112" s="8">
        <f t="shared" ca="1" si="12"/>
        <v>-0.10999999999999943</v>
      </c>
      <c r="F112" s="8" vm="240">
        <f t="shared" ca="1" si="13"/>
        <v>120.998</v>
      </c>
      <c r="AC112">
        <v>110</v>
      </c>
      <c r="AD112" s="4">
        <v>4.2465954099922799E-2</v>
      </c>
      <c r="AF112">
        <v>110</v>
      </c>
      <c r="AG112" s="4">
        <v>6.6641900426265641E-3</v>
      </c>
      <c r="AI112">
        <v>110</v>
      </c>
      <c r="AJ112" s="4">
        <v>6.16833467834674E-3</v>
      </c>
    </row>
    <row r="113" spans="1:36" x14ac:dyDescent="0.35">
      <c r="A113" vm="243">
        <f ca="1"/>
        <v>45453</v>
      </c>
      <c r="B113" vm="244">
        <f ca="1"/>
        <v>121.79</v>
      </c>
      <c r="C113" s="4">
        <f t="shared" ca="1" si="10"/>
        <v>7.4614519224406144E-3</v>
      </c>
      <c r="D113" s="4">
        <f t="shared" ca="1" si="11"/>
        <v>7.4337529875599679E-3</v>
      </c>
      <c r="E113" s="8">
        <f t="shared" ca="1" si="12"/>
        <v>0.90200000000000102</v>
      </c>
      <c r="F113" s="8" vm="242">
        <f t="shared" ca="1" si="13"/>
        <v>120.88800000000001</v>
      </c>
      <c r="AC113">
        <v>111</v>
      </c>
      <c r="AD113" s="4">
        <v>3.1117514540403374E-2</v>
      </c>
      <c r="AF113">
        <v>111</v>
      </c>
      <c r="AG113" s="4">
        <v>6.8191115619627048E-3</v>
      </c>
      <c r="AI113">
        <v>111</v>
      </c>
      <c r="AJ113" s="4">
        <v>6.4026266383693823E-3</v>
      </c>
    </row>
    <row r="114" spans="1:36" x14ac:dyDescent="0.35">
      <c r="A114" vm="245">
        <f ca="1"/>
        <v>45454</v>
      </c>
      <c r="B114" vm="246">
        <f ca="1"/>
        <v>120.91</v>
      </c>
      <c r="C114" s="4">
        <f t="shared" ca="1" si="10"/>
        <v>-7.2255521799820151E-3</v>
      </c>
      <c r="D114" s="4">
        <f t="shared" ca="1" si="11"/>
        <v>-7.2517829128638201E-3</v>
      </c>
      <c r="E114" s="8">
        <f t="shared" ca="1" si="12"/>
        <v>-0.88000000000000966</v>
      </c>
      <c r="F114" s="8" vm="244">
        <f t="shared" ca="1" si="13"/>
        <v>121.79</v>
      </c>
      <c r="AC114">
        <v>112</v>
      </c>
      <c r="AD114" s="4">
        <v>5.3569112977981025E-2</v>
      </c>
      <c r="AF114">
        <v>112</v>
      </c>
      <c r="AG114" s="4">
        <v>6.7618242912932938E-3</v>
      </c>
      <c r="AI114">
        <v>112</v>
      </c>
      <c r="AJ114" s="4">
        <v>6.0137208788751317E-3</v>
      </c>
    </row>
    <row r="115" spans="1:36" x14ac:dyDescent="0.35">
      <c r="A115" vm="247">
        <f ca="1"/>
        <v>45455</v>
      </c>
      <c r="B115" vm="248">
        <f ca="1"/>
        <v>125.2</v>
      </c>
      <c r="C115" s="4">
        <f t="shared" ca="1" si="10"/>
        <v>3.5480936233562209E-2</v>
      </c>
      <c r="D115" s="4">
        <f t="shared" ca="1" si="11"/>
        <v>3.486599147984281E-2</v>
      </c>
      <c r="E115" s="8">
        <f t="shared" ca="1" si="12"/>
        <v>4.2900000000000063</v>
      </c>
      <c r="F115" s="8" vm="246">
        <f t="shared" ca="1" si="13"/>
        <v>120.91</v>
      </c>
      <c r="AC115">
        <v>113</v>
      </c>
      <c r="AD115" s="4">
        <v>3.067814752097971E-2</v>
      </c>
      <c r="AF115">
        <v>113</v>
      </c>
      <c r="AG115" s="4">
        <v>6.8661044311418788E-3</v>
      </c>
      <c r="AI115">
        <v>113</v>
      </c>
      <c r="AJ115" s="4">
        <v>8.4419695683459594E-3</v>
      </c>
    </row>
    <row r="116" spans="1:36" x14ac:dyDescent="0.35">
      <c r="A116" vm="249">
        <f ca="1"/>
        <v>45456</v>
      </c>
      <c r="B116" vm="250">
        <f ca="1"/>
        <v>129.61000000000001</v>
      </c>
      <c r="C116" s="4">
        <f t="shared" ca="1" si="10"/>
        <v>3.522364217252405E-2</v>
      </c>
      <c r="D116" s="4">
        <f t="shared" ca="1" si="11"/>
        <v>3.4617482769285633E-2</v>
      </c>
      <c r="E116" s="8">
        <f t="shared" ca="1" si="12"/>
        <v>4.4100000000000108</v>
      </c>
      <c r="F116" s="8" vm="248">
        <f t="shared" ca="1" si="13"/>
        <v>125.2</v>
      </c>
      <c r="AC116">
        <v>114</v>
      </c>
      <c r="AD116" s="4">
        <v>2.7233003319066761E-2</v>
      </c>
      <c r="AF116">
        <v>114</v>
      </c>
      <c r="AG116" s="4">
        <v>6.7763695270861854E-3</v>
      </c>
      <c r="AI116">
        <v>114</v>
      </c>
      <c r="AJ116" s="4">
        <v>7.182825797144513E-3</v>
      </c>
    </row>
    <row r="117" spans="1:36" x14ac:dyDescent="0.35">
      <c r="A117" vm="251">
        <f ca="1"/>
        <v>45457</v>
      </c>
      <c r="B117" vm="252">
        <f ca="1"/>
        <v>131.88</v>
      </c>
      <c r="C117" s="4">
        <f t="shared" ca="1" si="10"/>
        <v>1.7514080703649269E-2</v>
      </c>
      <c r="D117" s="4">
        <f t="shared" ca="1" si="11"/>
        <v>1.7362476768246544E-2</v>
      </c>
      <c r="E117" s="8">
        <f t="shared" ca="1" si="12"/>
        <v>2.2699999999999818</v>
      </c>
      <c r="F117" s="8" vm="250">
        <f t="shared" ca="1" si="13"/>
        <v>129.61000000000001</v>
      </c>
      <c r="AC117">
        <v>115</v>
      </c>
      <c r="AD117" s="4">
        <v>3.1312405305905663E-2</v>
      </c>
      <c r="AF117">
        <v>115</v>
      </c>
      <c r="AG117" s="4">
        <v>6.6613721361531561E-3</v>
      </c>
      <c r="AI117">
        <v>115</v>
      </c>
      <c r="AJ117" s="4">
        <v>6.3226472301555836E-3</v>
      </c>
    </row>
    <row r="118" spans="1:36" x14ac:dyDescent="0.35">
      <c r="A118" vm="253">
        <f ca="1"/>
        <v>45460</v>
      </c>
      <c r="B118" vm="254">
        <f ca="1"/>
        <v>130.97999999999999</v>
      </c>
      <c r="C118" s="4">
        <f t="shared" ca="1" si="10"/>
        <v>-6.8243858052775682E-3</v>
      </c>
      <c r="D118" s="4">
        <f t="shared" ca="1" si="11"/>
        <v>-6.8477784136228076E-3</v>
      </c>
      <c r="E118" s="8">
        <f t="shared" ca="1" si="12"/>
        <v>-0.90000000000000568</v>
      </c>
      <c r="F118" s="8" vm="252">
        <f t="shared" ca="1" si="13"/>
        <v>131.88</v>
      </c>
      <c r="AC118">
        <v>116</v>
      </c>
      <c r="AD118" s="4">
        <v>2.7192013942629167E-2</v>
      </c>
      <c r="AF118">
        <v>116</v>
      </c>
      <c r="AG118" s="4">
        <v>6.8116605272100237E-3</v>
      </c>
      <c r="AI118">
        <v>116</v>
      </c>
      <c r="AJ118" s="4">
        <v>8.9536697419279384E-3</v>
      </c>
    </row>
    <row r="119" spans="1:36" x14ac:dyDescent="0.35">
      <c r="A119" vm="255">
        <f ca="1"/>
        <v>45461</v>
      </c>
      <c r="B119" vm="256">
        <f ca="1"/>
        <v>135.58000000000001</v>
      </c>
      <c r="C119" s="4">
        <f t="shared" ca="1" si="10"/>
        <v>3.511986562834038E-2</v>
      </c>
      <c r="D119" s="4">
        <f t="shared" ca="1" si="11"/>
        <v>3.4517232212912273E-2</v>
      </c>
      <c r="E119" s="8">
        <f t="shared" ca="1" si="12"/>
        <v>4.6000000000000227</v>
      </c>
      <c r="F119" s="8" vm="254">
        <f t="shared" ca="1" si="13"/>
        <v>130.97999999999999</v>
      </c>
      <c r="AC119">
        <v>117</v>
      </c>
      <c r="AD119" s="4">
        <v>2.3729758138880192E-2</v>
      </c>
      <c r="AF119">
        <v>117</v>
      </c>
      <c r="AG119" s="4">
        <v>6.6527276182189237E-3</v>
      </c>
      <c r="AI119">
        <v>117</v>
      </c>
      <c r="AJ119" s="4">
        <v>1.0252481564034173E-2</v>
      </c>
    </row>
    <row r="120" spans="1:36" x14ac:dyDescent="0.35">
      <c r="A120" vm="257">
        <f ca="1"/>
        <v>45463</v>
      </c>
      <c r="B120" vm="258">
        <f ca="1"/>
        <v>130.78</v>
      </c>
      <c r="C120" s="4">
        <f t="shared" ca="1" si="10"/>
        <v>-3.5403451836554148E-2</v>
      </c>
      <c r="D120" s="4">
        <f t="shared" ca="1" si="11"/>
        <v>-3.6045349869689741E-2</v>
      </c>
      <c r="E120" s="8">
        <f t="shared" ca="1" si="12"/>
        <v>-4.8000000000000114</v>
      </c>
      <c r="F120" s="8" vm="256">
        <f t="shared" ca="1" si="13"/>
        <v>135.58000000000001</v>
      </c>
      <c r="AC120">
        <v>118</v>
      </c>
      <c r="AD120" s="4">
        <v>9.1084609230668453E-2</v>
      </c>
      <c r="AF120">
        <v>118</v>
      </c>
      <c r="AG120" s="4">
        <v>6.7476136450570689E-3</v>
      </c>
      <c r="AI120">
        <v>118</v>
      </c>
      <c r="AJ120" s="4">
        <v>7.3066695527546572E-3</v>
      </c>
    </row>
    <row r="121" spans="1:36" x14ac:dyDescent="0.35">
      <c r="A121" vm="259">
        <f ca="1"/>
        <v>45464</v>
      </c>
      <c r="B121" vm="260">
        <f ca="1"/>
        <v>126.57</v>
      </c>
      <c r="C121" s="4">
        <f t="shared" ca="1" si="10"/>
        <v>-3.2191466585104814E-2</v>
      </c>
      <c r="D121" s="4">
        <f t="shared" ca="1" si="11"/>
        <v>-3.2721007328772991E-2</v>
      </c>
      <c r="E121" s="8">
        <f t="shared" ca="1" si="12"/>
        <v>-4.210000000000008</v>
      </c>
      <c r="F121" s="8" vm="258">
        <f t="shared" ca="1" si="13"/>
        <v>130.78</v>
      </c>
      <c r="AC121">
        <v>119</v>
      </c>
      <c r="AD121" s="4">
        <v>4.403801073149928E-2</v>
      </c>
      <c r="AF121">
        <v>119</v>
      </c>
      <c r="AG121" s="4">
        <v>6.6086809899552033E-3</v>
      </c>
      <c r="AI121">
        <v>119</v>
      </c>
      <c r="AJ121" s="4">
        <v>5.9560998983220126E-3</v>
      </c>
    </row>
    <row r="122" spans="1:36" x14ac:dyDescent="0.35">
      <c r="A122" vm="261">
        <f ca="1"/>
        <v>45467</v>
      </c>
      <c r="B122" vm="262">
        <f ca="1"/>
        <v>118.11</v>
      </c>
      <c r="C122" s="4">
        <f t="shared" ca="1" si="10"/>
        <v>-6.684048352690207E-2</v>
      </c>
      <c r="D122" s="4">
        <f t="shared" ca="1" si="11"/>
        <v>-6.9179121180601127E-2</v>
      </c>
      <c r="E122" s="8">
        <f t="shared" ca="1" si="12"/>
        <v>-8.4599999999999937</v>
      </c>
      <c r="F122" s="8" vm="260">
        <f t="shared" ca="1" si="13"/>
        <v>126.57</v>
      </c>
      <c r="AC122">
        <v>120</v>
      </c>
      <c r="AD122" s="4">
        <v>4.3518057677558571E-2</v>
      </c>
      <c r="AF122">
        <v>120</v>
      </c>
      <c r="AG122" s="4">
        <v>6.7938778243680662E-3</v>
      </c>
      <c r="AI122">
        <v>120</v>
      </c>
      <c r="AJ122" s="4">
        <v>7.1258851146179516E-3</v>
      </c>
    </row>
    <row r="123" spans="1:36" x14ac:dyDescent="0.35">
      <c r="A123" vm="263">
        <f ca="1"/>
        <v>45468</v>
      </c>
      <c r="B123" vm="264">
        <f ca="1"/>
        <v>126.09</v>
      </c>
      <c r="C123" s="4">
        <f t="shared" ca="1" si="10"/>
        <v>6.7564135128270295E-2</v>
      </c>
      <c r="D123" s="4">
        <f t="shared" ca="1" si="11"/>
        <v>6.5379544061379219E-2</v>
      </c>
      <c r="E123" s="8">
        <f t="shared" ca="1" si="12"/>
        <v>7.980000000000004</v>
      </c>
      <c r="F123" s="8" vm="262">
        <f t="shared" ca="1" si="13"/>
        <v>118.11</v>
      </c>
      <c r="AC123">
        <v>121</v>
      </c>
      <c r="AD123" s="4">
        <v>7.2931756177599255E-2</v>
      </c>
      <c r="AF123">
        <v>121</v>
      </c>
      <c r="AG123" s="4">
        <v>6.7839272209155388E-3</v>
      </c>
      <c r="AI123">
        <v>121</v>
      </c>
      <c r="AJ123" s="4">
        <v>6.3091638954092559E-3</v>
      </c>
    </row>
    <row r="124" spans="1:36" x14ac:dyDescent="0.35">
      <c r="A124" vm="265">
        <f ca="1"/>
        <v>45469</v>
      </c>
      <c r="B124" vm="266">
        <f ca="1"/>
        <v>126.4</v>
      </c>
      <c r="C124" s="4">
        <f t="shared" ca="1" si="10"/>
        <v>2.4585613450709989E-3</v>
      </c>
      <c r="D124" s="4">
        <f t="shared" ca="1" si="11"/>
        <v>2.4555440276219911E-3</v>
      </c>
      <c r="E124" s="8">
        <f t="shared" ca="1" si="12"/>
        <v>0.31000000000000227</v>
      </c>
      <c r="F124" s="8" vm="264">
        <f t="shared" ca="1" si="13"/>
        <v>126.09</v>
      </c>
      <c r="AC124">
        <v>122</v>
      </c>
      <c r="AD124" s="4">
        <v>2.8282656148998258E-2</v>
      </c>
      <c r="AF124">
        <v>122</v>
      </c>
      <c r="AG124" s="4">
        <v>6.7214850386575712E-3</v>
      </c>
      <c r="AI124">
        <v>122</v>
      </c>
      <c r="AJ124" s="4">
        <v>7.8856602421075606E-3</v>
      </c>
    </row>
    <row r="125" spans="1:36" x14ac:dyDescent="0.35">
      <c r="A125" vm="267">
        <f ca="1"/>
        <v>45470</v>
      </c>
      <c r="B125" vm="268">
        <f ca="1"/>
        <v>123.99</v>
      </c>
      <c r="C125" s="4">
        <f t="shared" ca="1" si="10"/>
        <v>-1.9066455696202616E-2</v>
      </c>
      <c r="D125" s="4">
        <f t="shared" ca="1" si="11"/>
        <v>-1.9250564521006413E-2</v>
      </c>
      <c r="E125" s="8">
        <f t="shared" ca="1" si="12"/>
        <v>-2.4100000000000108</v>
      </c>
      <c r="F125" s="8" vm="266">
        <f t="shared" ca="1" si="13"/>
        <v>126.4</v>
      </c>
      <c r="AC125">
        <v>123</v>
      </c>
      <c r="AD125" s="4">
        <v>2.4693353526913247E-2</v>
      </c>
      <c r="AF125">
        <v>123</v>
      </c>
      <c r="AG125" s="4">
        <v>6.7345979389728449E-3</v>
      </c>
      <c r="AI125">
        <v>123</v>
      </c>
      <c r="AJ125" s="4">
        <v>7.6866647957537278E-3</v>
      </c>
    </row>
    <row r="126" spans="1:36" x14ac:dyDescent="0.35">
      <c r="A126" vm="269">
        <f ca="1"/>
        <v>45471</v>
      </c>
      <c r="B126" vm="270">
        <f ca="1"/>
        <v>123.54</v>
      </c>
      <c r="C126" s="4">
        <f t="shared" ca="1" si="10"/>
        <v>-3.6293249455600341E-3</v>
      </c>
      <c r="D126" s="4">
        <f t="shared" ca="1" si="11"/>
        <v>-3.6359269239974838E-3</v>
      </c>
      <c r="E126" s="8">
        <f t="shared" ca="1" si="12"/>
        <v>-0.44999999999998863</v>
      </c>
      <c r="F126" s="8" vm="268">
        <f t="shared" ca="1" si="13"/>
        <v>123.99</v>
      </c>
      <c r="AC126">
        <v>124</v>
      </c>
      <c r="AD126" s="4">
        <v>1.9894623468676126E-2</v>
      </c>
      <c r="AF126">
        <v>124</v>
      </c>
      <c r="AG126" s="4">
        <v>6.7861985430814455E-3</v>
      </c>
      <c r="AI126">
        <v>124</v>
      </c>
      <c r="AJ126" s="4">
        <v>5.6371238247089573E-3</v>
      </c>
    </row>
    <row r="127" spans="1:36" x14ac:dyDescent="0.35">
      <c r="A127" vm="271">
        <f ca="1"/>
        <v>45474</v>
      </c>
      <c r="B127" vm="272">
        <f ca="1"/>
        <v>124.3</v>
      </c>
      <c r="C127" s="4">
        <f t="shared" ca="1" si="10"/>
        <v>6.1518536506393953E-3</v>
      </c>
      <c r="D127" s="4">
        <f t="shared" ca="1" si="11"/>
        <v>6.1330082489121848E-3</v>
      </c>
      <c r="E127" s="8">
        <f t="shared" ca="1" si="12"/>
        <v>0.75999999999999091</v>
      </c>
      <c r="F127" s="8" vm="270">
        <f t="shared" ca="1" si="13"/>
        <v>123.54</v>
      </c>
      <c r="AC127">
        <v>125</v>
      </c>
      <c r="AD127" s="4">
        <v>2.9976759646706382E-2</v>
      </c>
      <c r="AF127">
        <v>125</v>
      </c>
      <c r="AG127" s="4">
        <v>6.7661383665985845E-3</v>
      </c>
      <c r="AI127">
        <v>125</v>
      </c>
      <c r="AJ127" s="4">
        <v>6.5184709923013307E-3</v>
      </c>
    </row>
    <row r="128" spans="1:36" x14ac:dyDescent="0.35">
      <c r="A128" vm="273">
        <f ca="1"/>
        <v>45475</v>
      </c>
      <c r="B128" vm="274">
        <f ca="1"/>
        <v>122.67</v>
      </c>
      <c r="C128" s="4">
        <f t="shared" ca="1" si="10"/>
        <v>-1.3113435237329007E-2</v>
      </c>
      <c r="D128" s="4">
        <f t="shared" ca="1" si="11"/>
        <v>-1.3200175472004753E-2</v>
      </c>
      <c r="E128" s="8">
        <f t="shared" ca="1" si="12"/>
        <v>-1.6299999999999955</v>
      </c>
      <c r="F128" s="8" vm="272">
        <f t="shared" ca="1" si="13"/>
        <v>124.3</v>
      </c>
      <c r="AC128">
        <v>126</v>
      </c>
      <c r="AD128" s="4">
        <v>0.10749765642715814</v>
      </c>
      <c r="AF128">
        <v>126</v>
      </c>
      <c r="AG128" s="4">
        <v>6.8875519422934859E-3</v>
      </c>
      <c r="AI128">
        <v>126</v>
      </c>
      <c r="AJ128" s="4">
        <v>7.2687312998440338E-3</v>
      </c>
    </row>
    <row r="129" spans="1:36" x14ac:dyDescent="0.35">
      <c r="A129" vm="275">
        <f ca="1"/>
        <v>45476</v>
      </c>
      <c r="B129" vm="276">
        <f ca="1"/>
        <v>128.28</v>
      </c>
      <c r="C129" s="4">
        <f t="shared" ca="1" si="10"/>
        <v>4.573245292247493E-2</v>
      </c>
      <c r="D129" s="4">
        <f t="shared" ca="1" si="11"/>
        <v>4.4717551780293567E-2</v>
      </c>
      <c r="E129" s="8">
        <f t="shared" ca="1" si="12"/>
        <v>5.6099999999999994</v>
      </c>
      <c r="F129" s="8" vm="274">
        <f t="shared" ca="1" si="13"/>
        <v>122.67</v>
      </c>
      <c r="AC129">
        <v>127</v>
      </c>
      <c r="AD129" s="4">
        <v>4.0129885004790686E-2</v>
      </c>
      <c r="AF129">
        <v>127</v>
      </c>
      <c r="AG129" s="4">
        <v>6.8454726000150316E-3</v>
      </c>
      <c r="AI129">
        <v>127</v>
      </c>
      <c r="AJ129" s="4">
        <v>7.1989716113473939E-3</v>
      </c>
    </row>
    <row r="130" spans="1:36" x14ac:dyDescent="0.35">
      <c r="A130" vm="277">
        <f ca="1"/>
        <v>45478</v>
      </c>
      <c r="B130" vm="278">
        <f ca="1"/>
        <v>125.83</v>
      </c>
      <c r="C130" s="4">
        <f t="shared" ca="1" si="10"/>
        <v>-1.9098846273776136E-2</v>
      </c>
      <c r="D130" s="4">
        <f t="shared" ca="1" si="11"/>
        <v>-1.9283585221077631E-2</v>
      </c>
      <c r="E130" s="8">
        <f t="shared" ca="1" si="12"/>
        <v>-2.4500000000000028</v>
      </c>
      <c r="F130" s="8" vm="276">
        <f t="shared" ca="1" si="13"/>
        <v>128.28</v>
      </c>
      <c r="AC130">
        <v>128</v>
      </c>
      <c r="AD130" s="4">
        <v>3.0098294057806944E-2</v>
      </c>
      <c r="AF130">
        <v>128</v>
      </c>
      <c r="AG130" s="4">
        <v>6.7371822776829907E-3</v>
      </c>
      <c r="AI130">
        <v>128</v>
      </c>
      <c r="AJ130" s="4">
        <v>6.968020553142662E-3</v>
      </c>
    </row>
    <row r="131" spans="1:36" x14ac:dyDescent="0.35">
      <c r="A131" vm="279">
        <f ca="1"/>
        <v>45481</v>
      </c>
      <c r="B131" vm="280">
        <f ca="1"/>
        <v>128.19999999999999</v>
      </c>
      <c r="C131" s="4">
        <f t="shared" ca="1" si="10"/>
        <v>1.8834936024795284E-2</v>
      </c>
      <c r="D131" s="4">
        <f t="shared" ca="1" si="11"/>
        <v>1.8659754882693017E-2</v>
      </c>
      <c r="E131" s="8">
        <f t="shared" ca="1" si="12"/>
        <v>2.3699999999999903</v>
      </c>
      <c r="F131" s="8" vm="278">
        <f t="shared" ca="1" si="13"/>
        <v>125.83</v>
      </c>
      <c r="AC131">
        <v>129</v>
      </c>
      <c r="AD131" s="4">
        <v>8.958452435017264E-2</v>
      </c>
      <c r="AF131">
        <v>129</v>
      </c>
      <c r="AG131" s="4">
        <v>6.8611043066423814E-3</v>
      </c>
      <c r="AI131">
        <v>129</v>
      </c>
      <c r="AJ131" s="4">
        <v>7.3961939114126568E-3</v>
      </c>
    </row>
    <row r="132" spans="1:36" x14ac:dyDescent="0.35">
      <c r="A132" vm="281">
        <f ca="1"/>
        <v>45482</v>
      </c>
      <c r="B132" vm="282">
        <f ca="1"/>
        <v>131.38</v>
      </c>
      <c r="C132" s="4">
        <f t="shared" ca="1" si="10"/>
        <v>2.4804992199688042E-2</v>
      </c>
      <c r="D132" s="4">
        <f t="shared" ca="1" si="11"/>
        <v>2.4502342977757247E-2</v>
      </c>
      <c r="E132" s="8">
        <f t="shared" ca="1" si="12"/>
        <v>3.1800000000000068</v>
      </c>
      <c r="F132" s="8" vm="280">
        <f t="shared" ca="1" si="13"/>
        <v>128.19999999999999</v>
      </c>
      <c r="AC132">
        <v>130</v>
      </c>
      <c r="AD132" s="4">
        <v>5.2287498049953939E-2</v>
      </c>
      <c r="AF132">
        <v>130</v>
      </c>
      <c r="AG132" s="4">
        <v>6.7021048709699068E-3</v>
      </c>
      <c r="AI132">
        <v>130</v>
      </c>
      <c r="AJ132" s="4">
        <v>9.7460802502515216E-3</v>
      </c>
    </row>
    <row r="133" spans="1:36" x14ac:dyDescent="0.35">
      <c r="A133" vm="283">
        <f ca="1"/>
        <v>45483</v>
      </c>
      <c r="B133" vm="284">
        <f ca="1"/>
        <v>134.91</v>
      </c>
      <c r="C133" s="4">
        <f t="shared" ref="C133:C196" ca="1" si="14">IFERROR((B133-B132)/B132,C132)</f>
        <v>2.6868625361546668E-2</v>
      </c>
      <c r="D133" s="4">
        <f t="shared" ref="D133:D196" ca="1" si="15">IFERROR(LN(B133/B132),D132)</f>
        <v>2.6514001986398836E-2</v>
      </c>
      <c r="E133" s="8">
        <f t="shared" ref="E133:E196" ca="1" si="16">IFERROR(B133-B132,0)</f>
        <v>3.5300000000000011</v>
      </c>
      <c r="F133" s="8" vm="282">
        <f t="shared" ref="F133:F196" ca="1" si="17">IFERROR(B132,F132)</f>
        <v>131.38</v>
      </c>
      <c r="AC133">
        <v>131</v>
      </c>
      <c r="AD133" s="4">
        <v>4.6557110232770552E-2</v>
      </c>
      <c r="AF133">
        <v>131</v>
      </c>
      <c r="AG133" s="4">
        <v>6.7671496317487281E-3</v>
      </c>
      <c r="AI133">
        <v>131</v>
      </c>
      <c r="AJ133" s="4">
        <v>9.3071341474878101E-3</v>
      </c>
    </row>
    <row r="134" spans="1:36" x14ac:dyDescent="0.35">
      <c r="A134" vm="285">
        <f ca="1"/>
        <v>45484</v>
      </c>
      <c r="B134" vm="286">
        <f ca="1"/>
        <v>127.4</v>
      </c>
      <c r="C134" s="4">
        <f t="shared" ca="1" si="14"/>
        <v>-5.5666740790156335E-2</v>
      </c>
      <c r="D134" s="4">
        <f t="shared" ca="1" si="15"/>
        <v>-5.7276146312662667E-2</v>
      </c>
      <c r="E134" s="8">
        <f t="shared" ca="1" si="16"/>
        <v>-7.5099999999999909</v>
      </c>
      <c r="F134" s="8" vm="284">
        <f t="shared" ca="1" si="17"/>
        <v>134.91</v>
      </c>
      <c r="AC134">
        <v>132</v>
      </c>
      <c r="AD134" s="4">
        <v>5.406604469371392E-2</v>
      </c>
      <c r="AF134">
        <v>132</v>
      </c>
      <c r="AG134" s="4">
        <v>6.8187497263780704E-3</v>
      </c>
      <c r="AI134">
        <v>132</v>
      </c>
      <c r="AJ134" s="4">
        <v>6.7005016335405267E-3</v>
      </c>
    </row>
    <row r="135" spans="1:36" x14ac:dyDescent="0.35">
      <c r="A135" vm="287">
        <f ca="1"/>
        <v>45485</v>
      </c>
      <c r="B135" vm="288">
        <f ca="1"/>
        <v>129.24</v>
      </c>
      <c r="C135" s="4">
        <f t="shared" ca="1" si="14"/>
        <v>1.4442700156985898E-2</v>
      </c>
      <c r="D135" s="4">
        <f t="shared" ca="1" si="15"/>
        <v>1.4339397818234453E-2</v>
      </c>
      <c r="E135" s="8">
        <f t="shared" ca="1" si="16"/>
        <v>1.8400000000000034</v>
      </c>
      <c r="F135" s="8" vm="286">
        <f t="shared" ca="1" si="17"/>
        <v>127.4</v>
      </c>
      <c r="AC135">
        <v>133</v>
      </c>
      <c r="AD135" s="4">
        <v>0.12309221564968793</v>
      </c>
      <c r="AF135">
        <v>133</v>
      </c>
      <c r="AG135" s="4">
        <v>6.6993128779575277E-3</v>
      </c>
      <c r="AI135">
        <v>133</v>
      </c>
      <c r="AJ135" s="4">
        <v>6.233152112390305E-3</v>
      </c>
    </row>
    <row r="136" spans="1:36" x14ac:dyDescent="0.35">
      <c r="A136" vm="289">
        <f ca="1"/>
        <v>45488</v>
      </c>
      <c r="B136" vm="290">
        <f ca="1"/>
        <v>128.44</v>
      </c>
      <c r="C136" s="4">
        <f t="shared" ca="1" si="14"/>
        <v>-6.1900340451873362E-3</v>
      </c>
      <c r="D136" s="4">
        <f t="shared" ca="1" si="15"/>
        <v>-6.2092717349844411E-3</v>
      </c>
      <c r="E136" s="8">
        <f t="shared" ca="1" si="16"/>
        <v>-0.80000000000001137</v>
      </c>
      <c r="F136" s="8" vm="288">
        <f t="shared" ca="1" si="17"/>
        <v>129.24</v>
      </c>
      <c r="AC136">
        <v>134</v>
      </c>
      <c r="AD136" s="4">
        <v>6.1604477801030913E-2</v>
      </c>
      <c r="AF136">
        <v>134</v>
      </c>
      <c r="AG136" s="4">
        <v>6.7380175087746715E-3</v>
      </c>
      <c r="AI136">
        <v>134</v>
      </c>
      <c r="AJ136" s="4">
        <v>9.5588720231740212E-3</v>
      </c>
    </row>
    <row r="137" spans="1:36" x14ac:dyDescent="0.35">
      <c r="A137" vm="291">
        <f ca="1"/>
        <v>45489</v>
      </c>
      <c r="B137" vm="292">
        <f ca="1"/>
        <v>126.36</v>
      </c>
      <c r="C137" s="4">
        <f t="shared" ca="1" si="14"/>
        <v>-1.6194331983805654E-2</v>
      </c>
      <c r="D137" s="4">
        <f t="shared" ca="1" si="15"/>
        <v>-1.6326893287428781E-2</v>
      </c>
      <c r="E137" s="8">
        <f t="shared" ca="1" si="16"/>
        <v>-2.0799999999999983</v>
      </c>
      <c r="F137" s="8" vm="290">
        <f t="shared" ca="1" si="17"/>
        <v>128.44</v>
      </c>
      <c r="AC137">
        <v>135</v>
      </c>
      <c r="AD137" s="4">
        <v>8.2554115760090765E-2</v>
      </c>
      <c r="AF137">
        <v>135</v>
      </c>
      <c r="AG137" s="4">
        <v>6.8073976354132816E-3</v>
      </c>
      <c r="AI137">
        <v>135</v>
      </c>
      <c r="AJ137" s="4">
        <v>7.7847252470212205E-3</v>
      </c>
    </row>
    <row r="138" spans="1:36" x14ac:dyDescent="0.35">
      <c r="A138" vm="293">
        <f ca="1"/>
        <v>45490</v>
      </c>
      <c r="B138" vm="294">
        <f ca="1"/>
        <v>117.99</v>
      </c>
      <c r="C138" s="4">
        <f t="shared" ca="1" si="14"/>
        <v>-6.6239316239316282E-2</v>
      </c>
      <c r="D138" s="4">
        <f t="shared" ca="1" si="15"/>
        <v>-6.8535100822056577E-2</v>
      </c>
      <c r="E138" s="8">
        <f t="shared" ca="1" si="16"/>
        <v>-8.3700000000000045</v>
      </c>
      <c r="F138" s="8" vm="292">
        <f t="shared" ca="1" si="17"/>
        <v>126.36</v>
      </c>
      <c r="AC138">
        <v>136</v>
      </c>
      <c r="AD138" s="4">
        <v>0.10623272426002021</v>
      </c>
      <c r="AF138">
        <v>136</v>
      </c>
      <c r="AG138" s="4">
        <v>6.7382161570016287E-3</v>
      </c>
      <c r="AI138">
        <v>136</v>
      </c>
      <c r="AJ138" s="4">
        <v>5.8578148637177894E-3</v>
      </c>
    </row>
    <row r="139" spans="1:36" x14ac:dyDescent="0.35">
      <c r="A139" vm="295">
        <f ca="1"/>
        <v>45491</v>
      </c>
      <c r="B139" vm="296">
        <f ca="1"/>
        <v>121.09</v>
      </c>
      <c r="C139" s="4">
        <f t="shared" ca="1" si="14"/>
        <v>2.6273413001101861E-2</v>
      </c>
      <c r="D139" s="4">
        <f t="shared" ca="1" si="15"/>
        <v>2.5934195654447028E-2</v>
      </c>
      <c r="E139" s="8">
        <f t="shared" ca="1" si="16"/>
        <v>3.1000000000000085</v>
      </c>
      <c r="F139" s="8" vm="294">
        <f t="shared" ca="1" si="17"/>
        <v>117.99</v>
      </c>
      <c r="AC139">
        <v>137</v>
      </c>
      <c r="AD139" s="4">
        <v>3.4865147859564037E-2</v>
      </c>
      <c r="AF139">
        <v>137</v>
      </c>
      <c r="AG139" s="4">
        <v>6.8086925502588609E-3</v>
      </c>
      <c r="AI139">
        <v>137</v>
      </c>
      <c r="AJ139" s="4">
        <v>7.4854374699825027E-3</v>
      </c>
    </row>
    <row r="140" spans="1:36" x14ac:dyDescent="0.35">
      <c r="A140" vm="297">
        <f ca="1"/>
        <v>45492</v>
      </c>
      <c r="B140" vm="298">
        <f ca="1"/>
        <v>117.93</v>
      </c>
      <c r="C140" s="4">
        <f t="shared" ca="1" si="14"/>
        <v>-2.609629201420428E-2</v>
      </c>
      <c r="D140" s="4">
        <f t="shared" ca="1" si="15"/>
        <v>-2.644284266439623E-2</v>
      </c>
      <c r="E140" s="8">
        <f t="shared" ca="1" si="16"/>
        <v>-3.1599999999999966</v>
      </c>
      <c r="F140" s="8" vm="296">
        <f t="shared" ca="1" si="17"/>
        <v>121.09</v>
      </c>
      <c r="AC140">
        <v>138</v>
      </c>
      <c r="AD140" s="4">
        <v>1.782880393596175E-2</v>
      </c>
      <c r="AF140">
        <v>138</v>
      </c>
      <c r="AG140" s="4">
        <v>6.707097968336781E-3</v>
      </c>
      <c r="AI140">
        <v>138</v>
      </c>
      <c r="AJ140" s="4">
        <v>9.1378459545868353E-3</v>
      </c>
    </row>
    <row r="141" spans="1:36" x14ac:dyDescent="0.35">
      <c r="A141" vm="299">
        <f ca="1"/>
        <v>45495</v>
      </c>
      <c r="B141" vm="270">
        <f ca="1"/>
        <v>123.54</v>
      </c>
      <c r="C141" s="4">
        <f t="shared" ca="1" si="14"/>
        <v>4.7570592724497575E-2</v>
      </c>
      <c r="D141" s="4">
        <f t="shared" ca="1" si="15"/>
        <v>4.6473762165874448E-2</v>
      </c>
      <c r="E141" s="8">
        <f t="shared" ca="1" si="16"/>
        <v>5.6099999999999994</v>
      </c>
      <c r="F141" s="8" vm="298">
        <f t="shared" ca="1" si="17"/>
        <v>117.93</v>
      </c>
      <c r="AC141">
        <v>139</v>
      </c>
      <c r="AD141" s="4">
        <v>3.6464814374577707E-2</v>
      </c>
      <c r="AF141">
        <v>139</v>
      </c>
      <c r="AG141" s="4">
        <v>6.7514015208470137E-3</v>
      </c>
      <c r="AI141">
        <v>139</v>
      </c>
      <c r="AJ141" s="4">
        <v>7.054292187239403E-3</v>
      </c>
    </row>
    <row r="142" spans="1:36" x14ac:dyDescent="0.35">
      <c r="A142" vm="300">
        <f ca="1"/>
        <v>45496</v>
      </c>
      <c r="B142" vm="301">
        <f ca="1"/>
        <v>122.59</v>
      </c>
      <c r="C142" s="4">
        <f t="shared" ca="1" si="14"/>
        <v>-7.6898170632993586E-3</v>
      </c>
      <c r="D142" s="4">
        <f t="shared" ca="1" si="15"/>
        <v>-7.7195361608502922E-3</v>
      </c>
      <c r="E142" s="8">
        <f t="shared" ca="1" si="16"/>
        <v>-0.95000000000000284</v>
      </c>
      <c r="F142" s="8" vm="270">
        <f t="shared" ca="1" si="17"/>
        <v>123.54</v>
      </c>
      <c r="AC142">
        <v>140</v>
      </c>
      <c r="AD142" s="4">
        <v>0.16589447454882938</v>
      </c>
      <c r="AF142">
        <v>140</v>
      </c>
      <c r="AG142" s="4">
        <v>6.7870171401896492E-3</v>
      </c>
      <c r="AI142">
        <v>140</v>
      </c>
      <c r="AJ142" s="4">
        <v>8.8080572433224744E-3</v>
      </c>
    </row>
    <row r="143" spans="1:36" x14ac:dyDescent="0.35">
      <c r="A143" vm="302">
        <f ca="1"/>
        <v>45497</v>
      </c>
      <c r="B143" vm="303">
        <f ca="1"/>
        <v>114.25</v>
      </c>
      <c r="C143" s="4">
        <f t="shared" ca="1" si="14"/>
        <v>-6.8031650216167736E-2</v>
      </c>
      <c r="D143" s="4">
        <f t="shared" ca="1" si="15"/>
        <v>-7.0456424332588821E-2</v>
      </c>
      <c r="E143" s="8">
        <f t="shared" ca="1" si="16"/>
        <v>-8.3400000000000034</v>
      </c>
      <c r="F143" s="8" vm="301">
        <f t="shared" ca="1" si="17"/>
        <v>122.59</v>
      </c>
      <c r="AC143">
        <v>141</v>
      </c>
      <c r="AD143" s="4">
        <v>5.4087200109780444E-2</v>
      </c>
      <c r="AF143">
        <v>141</v>
      </c>
      <c r="AG143" s="4">
        <v>6.7865559533116654E-3</v>
      </c>
      <c r="AI143">
        <v>141</v>
      </c>
      <c r="AJ143" s="4">
        <v>6.3571810549503645E-3</v>
      </c>
    </row>
    <row r="144" spans="1:36" x14ac:dyDescent="0.35">
      <c r="A144" vm="304">
        <f ca="1"/>
        <v>45498</v>
      </c>
      <c r="B144" vm="305">
        <f ca="1"/>
        <v>112.28</v>
      </c>
      <c r="C144" s="4">
        <f t="shared" ca="1" si="14"/>
        <v>-1.7242888402625809E-2</v>
      </c>
      <c r="D144" s="4">
        <f t="shared" ca="1" si="15"/>
        <v>-1.7393278280632297E-2</v>
      </c>
      <c r="E144" s="8">
        <f t="shared" ca="1" si="16"/>
        <v>-1.9699999999999989</v>
      </c>
      <c r="F144" s="8" vm="303">
        <f t="shared" ca="1" si="17"/>
        <v>114.25</v>
      </c>
      <c r="AC144">
        <v>142</v>
      </c>
      <c r="AD144" s="4">
        <v>5.633266664172689E-2</v>
      </c>
      <c r="AF144">
        <v>142</v>
      </c>
      <c r="AG144" s="4">
        <v>6.7859071232931577E-3</v>
      </c>
      <c r="AI144">
        <v>142</v>
      </c>
      <c r="AJ144" s="4">
        <v>7.4836337837223829E-3</v>
      </c>
    </row>
    <row r="145" spans="1:36" x14ac:dyDescent="0.35">
      <c r="A145" vm="306">
        <f ca="1"/>
        <v>45499</v>
      </c>
      <c r="B145" vm="307">
        <f ca="1"/>
        <v>113.06</v>
      </c>
      <c r="C145" s="4">
        <f t="shared" ca="1" si="14"/>
        <v>6.9469184182401238E-3</v>
      </c>
      <c r="D145" s="4">
        <f t="shared" ca="1" si="15"/>
        <v>6.9228997534629107E-3</v>
      </c>
      <c r="E145" s="8">
        <f t="shared" ca="1" si="16"/>
        <v>0.78000000000000114</v>
      </c>
      <c r="F145" s="8" vm="305">
        <f t="shared" ca="1" si="17"/>
        <v>112.28</v>
      </c>
      <c r="AC145">
        <v>143</v>
      </c>
      <c r="AD145" s="4">
        <v>4.8809517448891275E-2</v>
      </c>
      <c r="AF145">
        <v>143</v>
      </c>
      <c r="AG145" s="4">
        <v>6.7419768091907441E-3</v>
      </c>
      <c r="AI145">
        <v>143</v>
      </c>
      <c r="AJ145" s="4">
        <v>7.7309920141589022E-3</v>
      </c>
    </row>
    <row r="146" spans="1:36" x14ac:dyDescent="0.35">
      <c r="A146" vm="308">
        <f ca="1"/>
        <v>45502</v>
      </c>
      <c r="B146" vm="309">
        <f ca="1"/>
        <v>111.59</v>
      </c>
      <c r="C146" s="4">
        <f t="shared" ca="1" si="14"/>
        <v>-1.3001945869449839E-2</v>
      </c>
      <c r="D146" s="4">
        <f t="shared" ca="1" si="15"/>
        <v>-1.3087211049534848E-2</v>
      </c>
      <c r="E146" s="8">
        <f t="shared" ca="1" si="16"/>
        <v>-1.4699999999999989</v>
      </c>
      <c r="F146" s="8" vm="307">
        <f t="shared" ca="1" si="17"/>
        <v>113.06</v>
      </c>
      <c r="AC146">
        <v>144</v>
      </c>
      <c r="AD146" s="4">
        <v>6.2442695086143175E-2</v>
      </c>
      <c r="AF146">
        <v>144</v>
      </c>
      <c r="AG146" s="4">
        <v>6.7552442377751959E-3</v>
      </c>
      <c r="AI146">
        <v>144</v>
      </c>
      <c r="AJ146" s="4">
        <v>6.9657209374772988E-3</v>
      </c>
    </row>
    <row r="147" spans="1:36" x14ac:dyDescent="0.35">
      <c r="A147" vm="310">
        <f ca="1"/>
        <v>45503</v>
      </c>
      <c r="B147" vm="311">
        <f ca="1"/>
        <v>103.73</v>
      </c>
      <c r="C147" s="4">
        <f t="shared" ca="1" si="14"/>
        <v>-7.043641903396361E-2</v>
      </c>
      <c r="D147" s="4">
        <f t="shared" ca="1" si="15"/>
        <v>-7.3040070753873143E-2</v>
      </c>
      <c r="E147" s="8">
        <f t="shared" ca="1" si="16"/>
        <v>-7.8599999999999994</v>
      </c>
      <c r="F147" s="8" vm="309">
        <f t="shared" ca="1" si="17"/>
        <v>111.59</v>
      </c>
      <c r="AC147">
        <v>145</v>
      </c>
      <c r="AD147" s="4">
        <v>8.5705444140874915E-2</v>
      </c>
      <c r="AF147">
        <v>145</v>
      </c>
      <c r="AG147" s="4">
        <v>6.8121605453639678E-3</v>
      </c>
      <c r="AI147">
        <v>145</v>
      </c>
      <c r="AJ147" s="4">
        <v>8.2543514759472452E-3</v>
      </c>
    </row>
    <row r="148" spans="1:36" x14ac:dyDescent="0.35">
      <c r="A148" vm="312">
        <f ca="1"/>
        <v>45504</v>
      </c>
      <c r="B148" vm="313">
        <f ca="1"/>
        <v>117.02</v>
      </c>
      <c r="C148" s="4">
        <f t="shared" ca="1" si="14"/>
        <v>0.12812108358237725</v>
      </c>
      <c r="D148" s="4">
        <f t="shared" ca="1" si="15"/>
        <v>0.12055349091635324</v>
      </c>
      <c r="E148" s="8">
        <f t="shared" ca="1" si="16"/>
        <v>13.289999999999992</v>
      </c>
      <c r="F148" s="8" vm="311">
        <f t="shared" ca="1" si="17"/>
        <v>103.73</v>
      </c>
      <c r="AC148">
        <v>146</v>
      </c>
      <c r="AD148" s="4">
        <v>5.9546672380919832E-2</v>
      </c>
      <c r="AF148">
        <v>146</v>
      </c>
      <c r="AG148" s="4">
        <v>6.8721971456257051E-3</v>
      </c>
      <c r="AI148">
        <v>146</v>
      </c>
      <c r="AJ148" s="4">
        <v>7.3999611464597072E-3</v>
      </c>
    </row>
    <row r="149" spans="1:36" x14ac:dyDescent="0.35">
      <c r="A149" vm="314">
        <f ca="1"/>
        <v>45505</v>
      </c>
      <c r="B149" vm="315">
        <f ca="1"/>
        <v>109.21</v>
      </c>
      <c r="C149" s="4">
        <f t="shared" ca="1" si="14"/>
        <v>-6.6740728080669998E-2</v>
      </c>
      <c r="D149" s="4">
        <f t="shared" ca="1" si="15"/>
        <v>-6.9072226150453053E-2</v>
      </c>
      <c r="E149" s="8">
        <f t="shared" ca="1" si="16"/>
        <v>-7.8100000000000023</v>
      </c>
      <c r="F149" s="8" vm="313">
        <f t="shared" ca="1" si="17"/>
        <v>117.02</v>
      </c>
      <c r="AC149">
        <v>147</v>
      </c>
      <c r="AD149" s="4">
        <v>9.230298557114186E-2</v>
      </c>
      <c r="AF149">
        <v>147</v>
      </c>
      <c r="AG149" s="4">
        <v>6.714959881594154E-3</v>
      </c>
      <c r="AI149">
        <v>147</v>
      </c>
      <c r="AJ149" s="4">
        <v>8.3101963157681397E-3</v>
      </c>
    </row>
    <row r="150" spans="1:36" x14ac:dyDescent="0.35">
      <c r="A150" vm="316">
        <f ca="1"/>
        <v>45506</v>
      </c>
      <c r="B150" vm="317">
        <f ca="1"/>
        <v>107.27</v>
      </c>
      <c r="C150" s="4">
        <f t="shared" ca="1" si="14"/>
        <v>-1.7763941031041095E-2</v>
      </c>
      <c r="D150" s="4">
        <f t="shared" ca="1" si="15"/>
        <v>-1.7923613600299107E-2</v>
      </c>
      <c r="E150" s="8">
        <f t="shared" ca="1" si="16"/>
        <v>-1.9399999999999977</v>
      </c>
      <c r="F150" s="8" vm="315">
        <f t="shared" ca="1" si="17"/>
        <v>109.21</v>
      </c>
      <c r="AC150">
        <v>148</v>
      </c>
      <c r="AD150" s="4">
        <v>5.6674011839713247E-2</v>
      </c>
      <c r="AF150">
        <v>148</v>
      </c>
      <c r="AG150" s="4">
        <v>6.8140799461743288E-3</v>
      </c>
      <c r="AI150">
        <v>148</v>
      </c>
      <c r="AJ150" s="4">
        <v>7.0147921737278764E-3</v>
      </c>
    </row>
    <row r="151" spans="1:36" x14ac:dyDescent="0.35">
      <c r="A151" vm="318">
        <f ca="1"/>
        <v>45509</v>
      </c>
      <c r="B151" vm="319">
        <f ca="1"/>
        <v>100.45</v>
      </c>
      <c r="C151" s="4">
        <f t="shared" ca="1" si="14"/>
        <v>-6.3577887573412817E-2</v>
      </c>
      <c r="D151" s="4">
        <f t="shared" ca="1" si="15"/>
        <v>-6.5688929348394431E-2</v>
      </c>
      <c r="E151" s="8">
        <f t="shared" ca="1" si="16"/>
        <v>-6.8199999999999932</v>
      </c>
      <c r="F151" s="8" vm="317">
        <f t="shared" ca="1" si="17"/>
        <v>107.27</v>
      </c>
      <c r="AC151">
        <v>149</v>
      </c>
      <c r="AD151" s="4">
        <v>3.1068308576553561E-2</v>
      </c>
      <c r="AF151">
        <v>149</v>
      </c>
      <c r="AG151" s="4">
        <v>6.8032409006867E-3</v>
      </c>
      <c r="AI151">
        <v>149</v>
      </c>
      <c r="AJ151" s="4">
        <v>7.1489939060740684E-3</v>
      </c>
    </row>
    <row r="152" spans="1:36" x14ac:dyDescent="0.35">
      <c r="A152" vm="320">
        <f ca="1"/>
        <v>45510</v>
      </c>
      <c r="B152" vm="321">
        <f ca="1"/>
        <v>104.25</v>
      </c>
      <c r="C152" s="4">
        <f t="shared" ca="1" si="14"/>
        <v>3.7829766052762538E-2</v>
      </c>
      <c r="D152" s="4">
        <f t="shared" ca="1" si="15"/>
        <v>3.7131769417967295E-2</v>
      </c>
      <c r="E152" s="8">
        <f t="shared" ca="1" si="16"/>
        <v>3.7999999999999972</v>
      </c>
      <c r="F152" s="8" vm="319">
        <f t="shared" ca="1" si="17"/>
        <v>100.45</v>
      </c>
      <c r="AC152">
        <v>150</v>
      </c>
      <c r="AD152" s="4">
        <v>6.0067078248195925E-2</v>
      </c>
      <c r="AF152">
        <v>150</v>
      </c>
      <c r="AG152" s="4">
        <v>6.7481654809341514E-3</v>
      </c>
      <c r="AI152">
        <v>150</v>
      </c>
      <c r="AJ152" s="4">
        <v>9.264295393728094E-3</v>
      </c>
    </row>
    <row r="153" spans="1:36" x14ac:dyDescent="0.35">
      <c r="A153" vm="322">
        <f ca="1"/>
        <v>45511</v>
      </c>
      <c r="B153" vm="323">
        <f ca="1"/>
        <v>98.91</v>
      </c>
      <c r="C153" s="4">
        <f t="shared" ca="1" si="14"/>
        <v>-5.1223021582733848E-2</v>
      </c>
      <c r="D153" s="4">
        <f t="shared" ca="1" si="15"/>
        <v>-5.2581514927161482E-2</v>
      </c>
      <c r="E153" s="8">
        <f t="shared" ca="1" si="16"/>
        <v>-5.3400000000000034</v>
      </c>
      <c r="F153" s="8" vm="321">
        <f t="shared" ca="1" si="17"/>
        <v>104.25</v>
      </c>
      <c r="AC153">
        <v>151</v>
      </c>
      <c r="AD153" s="4">
        <v>2.8019864025005215E-2</v>
      </c>
      <c r="AF153">
        <v>151</v>
      </c>
      <c r="AG153" s="4">
        <v>6.8655712585248196E-3</v>
      </c>
      <c r="AI153">
        <v>151</v>
      </c>
      <c r="AJ153" s="4">
        <v>7.8685362590912144E-3</v>
      </c>
    </row>
    <row r="154" spans="1:36" x14ac:dyDescent="0.35">
      <c r="A154" vm="324">
        <f ca="1"/>
        <v>45512</v>
      </c>
      <c r="B154" vm="325">
        <f ca="1"/>
        <v>104.97</v>
      </c>
      <c r="C154" s="4">
        <f t="shared" ca="1" si="14"/>
        <v>6.1267819229602692E-2</v>
      </c>
      <c r="D154" s="4">
        <f t="shared" ca="1" si="15"/>
        <v>5.9464249295957082E-2</v>
      </c>
      <c r="E154" s="8">
        <f t="shared" ca="1" si="16"/>
        <v>6.0600000000000023</v>
      </c>
      <c r="F154" s="8" vm="323">
        <f t="shared" ca="1" si="17"/>
        <v>98.91</v>
      </c>
      <c r="AC154">
        <v>152</v>
      </c>
      <c r="AD154" s="4">
        <v>7.1658007624204198E-2</v>
      </c>
      <c r="AF154">
        <v>152</v>
      </c>
      <c r="AG154" s="4">
        <v>6.7896922800096604E-3</v>
      </c>
      <c r="AI154">
        <v>152</v>
      </c>
      <c r="AJ154" s="4">
        <v>8.2448197938583198E-3</v>
      </c>
    </row>
    <row r="155" spans="1:36" x14ac:dyDescent="0.35">
      <c r="A155" vm="326">
        <f ca="1"/>
        <v>45513</v>
      </c>
      <c r="B155" vm="327">
        <f ca="1"/>
        <v>104.75</v>
      </c>
      <c r="C155" s="4">
        <f t="shared" ca="1" si="14"/>
        <v>-2.0958369057825937E-3</v>
      </c>
      <c r="D155" s="4">
        <f t="shared" ca="1" si="15"/>
        <v>-2.0980362454592664E-3</v>
      </c>
      <c r="E155" s="8">
        <f t="shared" ca="1" si="16"/>
        <v>-0.21999999999999886</v>
      </c>
      <c r="F155" s="8" vm="325">
        <f t="shared" ca="1" si="17"/>
        <v>104.97</v>
      </c>
      <c r="AC155">
        <v>153</v>
      </c>
      <c r="AD155" s="4">
        <v>3.5841989441786112E-2</v>
      </c>
      <c r="AF155">
        <v>153</v>
      </c>
      <c r="AG155" s="4">
        <v>6.796939465117508E-3</v>
      </c>
      <c r="AI155">
        <v>153</v>
      </c>
      <c r="AJ155" s="4">
        <v>8.0189284868677473E-3</v>
      </c>
    </row>
    <row r="156" spans="1:36" x14ac:dyDescent="0.35">
      <c r="A156" vm="328">
        <f ca="1"/>
        <v>45516</v>
      </c>
      <c r="B156" vm="329">
        <f ca="1"/>
        <v>109.02</v>
      </c>
      <c r="C156" s="4">
        <f t="shared" ca="1" si="14"/>
        <v>4.0763723150357957E-2</v>
      </c>
      <c r="D156" s="4">
        <f t="shared" ca="1" si="15"/>
        <v>3.9954792833887635E-2</v>
      </c>
      <c r="E156" s="8">
        <f t="shared" ca="1" si="16"/>
        <v>4.269999999999996</v>
      </c>
      <c r="F156" s="8" vm="327">
        <f t="shared" ca="1" si="17"/>
        <v>104.75</v>
      </c>
      <c r="AC156">
        <v>154</v>
      </c>
      <c r="AD156" s="4">
        <v>7.5761979367341054E-2</v>
      </c>
      <c r="AF156">
        <v>154</v>
      </c>
      <c r="AG156" s="4">
        <v>6.7557271670749767E-3</v>
      </c>
      <c r="AI156">
        <v>154</v>
      </c>
      <c r="AJ156" s="4">
        <v>6.6929484140376009E-3</v>
      </c>
    </row>
    <row r="157" spans="1:36" x14ac:dyDescent="0.35">
      <c r="A157" vm="330">
        <f ca="1"/>
        <v>45517</v>
      </c>
      <c r="B157" vm="331">
        <f ca="1"/>
        <v>116.14</v>
      </c>
      <c r="C157" s="4">
        <f t="shared" ca="1" si="14"/>
        <v>6.5309117593102234E-2</v>
      </c>
      <c r="D157" s="4">
        <f t="shared" ca="1" si="15"/>
        <v>6.3265008307769016E-2</v>
      </c>
      <c r="E157" s="8">
        <f t="shared" ca="1" si="16"/>
        <v>7.1200000000000045</v>
      </c>
      <c r="F157" s="8" vm="329">
        <f t="shared" ca="1" si="17"/>
        <v>109.02</v>
      </c>
      <c r="AC157">
        <v>155</v>
      </c>
      <c r="AD157" s="4">
        <v>8.7455848671082276E-2</v>
      </c>
      <c r="AF157">
        <v>155</v>
      </c>
      <c r="AG157" s="4">
        <v>6.8166572403741583E-3</v>
      </c>
      <c r="AI157">
        <v>155</v>
      </c>
      <c r="AJ157" s="4">
        <v>6.367138096836495E-3</v>
      </c>
    </row>
    <row r="158" spans="1:36" x14ac:dyDescent="0.35">
      <c r="A158" vm="332">
        <f ca="1"/>
        <v>45518</v>
      </c>
      <c r="B158" vm="333">
        <f ca="1"/>
        <v>118.08</v>
      </c>
      <c r="C158" s="4">
        <f t="shared" ca="1" si="14"/>
        <v>1.6703977957637315E-2</v>
      </c>
      <c r="D158" s="4">
        <f t="shared" ca="1" si="15"/>
        <v>1.6566000908258448E-2</v>
      </c>
      <c r="E158" s="8">
        <f t="shared" ca="1" si="16"/>
        <v>1.9399999999999977</v>
      </c>
      <c r="F158" s="8" vm="331">
        <f t="shared" ca="1" si="17"/>
        <v>116.14</v>
      </c>
      <c r="AC158">
        <v>156</v>
      </c>
      <c r="AD158" s="4">
        <v>4.3584647981798091E-2</v>
      </c>
      <c r="AF158">
        <v>156</v>
      </c>
      <c r="AG158" s="4">
        <v>6.7674592037558212E-3</v>
      </c>
      <c r="AI158">
        <v>156</v>
      </c>
      <c r="AJ158" s="4">
        <v>7.1289081722812654E-3</v>
      </c>
    </row>
    <row r="159" spans="1:36" x14ac:dyDescent="0.35">
      <c r="A159" vm="334">
        <f ca="1"/>
        <v>45519</v>
      </c>
      <c r="B159" vm="335">
        <f ca="1"/>
        <v>122.86</v>
      </c>
      <c r="C159" s="4">
        <f t="shared" ca="1" si="14"/>
        <v>4.0481029810298115E-2</v>
      </c>
      <c r="D159" s="4">
        <f t="shared" ca="1" si="15"/>
        <v>3.9683134883619096E-2</v>
      </c>
      <c r="E159" s="8">
        <f t="shared" ca="1" si="16"/>
        <v>4.7800000000000011</v>
      </c>
      <c r="F159" s="8" vm="333">
        <f t="shared" ca="1" si="17"/>
        <v>118.08</v>
      </c>
      <c r="AC159">
        <v>157</v>
      </c>
      <c r="AD159" s="4">
        <v>3.7399647979100864E-2</v>
      </c>
      <c r="AF159">
        <v>157</v>
      </c>
      <c r="AG159" s="4">
        <v>6.7814583314123357E-3</v>
      </c>
      <c r="AI159">
        <v>157</v>
      </c>
      <c r="AJ159" s="4">
        <v>6.4609893086586987E-3</v>
      </c>
    </row>
    <row r="160" spans="1:36" x14ac:dyDescent="0.35">
      <c r="A160" vm="336">
        <f ca="1"/>
        <v>45520</v>
      </c>
      <c r="B160" vm="337">
        <f ca="1"/>
        <v>124.58</v>
      </c>
      <c r="C160" s="4">
        <f t="shared" ca="1" si="14"/>
        <v>1.3999674426176126E-2</v>
      </c>
      <c r="D160" s="4">
        <f t="shared" ca="1" si="15"/>
        <v>1.3902584090218092E-2</v>
      </c>
      <c r="E160" s="8">
        <f t="shared" ca="1" si="16"/>
        <v>1.7199999999999989</v>
      </c>
      <c r="F160" s="8" vm="335">
        <f t="shared" ca="1" si="17"/>
        <v>122.86</v>
      </c>
      <c r="AC160">
        <v>158</v>
      </c>
      <c r="AD160" s="4">
        <v>0.19133640018143025</v>
      </c>
      <c r="AF160">
        <v>158</v>
      </c>
      <c r="AG160" s="4">
        <v>6.7418761499058446E-3</v>
      </c>
      <c r="AI160">
        <v>158</v>
      </c>
      <c r="AJ160" s="4">
        <v>7.395653682437925E-3</v>
      </c>
    </row>
    <row r="161" spans="1:36" x14ac:dyDescent="0.35">
      <c r="A161" vm="338">
        <f ca="1"/>
        <v>45523</v>
      </c>
      <c r="B161" vm="339">
        <f ca="1"/>
        <v>130</v>
      </c>
      <c r="C161" s="4">
        <f t="shared" ca="1" si="14"/>
        <v>4.3506180767378402E-2</v>
      </c>
      <c r="D161" s="4">
        <f t="shared" ca="1" si="15"/>
        <v>4.2586370629583002E-2</v>
      </c>
      <c r="E161" s="8">
        <f t="shared" ca="1" si="16"/>
        <v>5.4200000000000017</v>
      </c>
      <c r="F161" s="8" vm="337">
        <f t="shared" ca="1" si="17"/>
        <v>124.58</v>
      </c>
      <c r="AC161">
        <v>159</v>
      </c>
      <c r="AD161" s="4">
        <v>9.4883015408449373E-2</v>
      </c>
      <c r="AF161">
        <v>159</v>
      </c>
      <c r="AG161" s="4">
        <v>6.8388893081092385E-3</v>
      </c>
      <c r="AI161">
        <v>159</v>
      </c>
      <c r="AJ161" s="4">
        <v>8.1992060879958958E-3</v>
      </c>
    </row>
    <row r="162" spans="1:36" x14ac:dyDescent="0.35">
      <c r="A162" vm="340">
        <f ca="1"/>
        <v>45524</v>
      </c>
      <c r="B162" vm="341">
        <f ca="1"/>
        <v>127.25</v>
      </c>
      <c r="C162" s="4">
        <f t="shared" ca="1" si="14"/>
        <v>-2.1153846153846155E-2</v>
      </c>
      <c r="D162" s="4">
        <f t="shared" ca="1" si="15"/>
        <v>-2.1380795024950331E-2</v>
      </c>
      <c r="E162" s="8">
        <f t="shared" ca="1" si="16"/>
        <v>-2.75</v>
      </c>
      <c r="F162" s="8" vm="339">
        <f t="shared" ca="1" si="17"/>
        <v>130</v>
      </c>
      <c r="AC162">
        <v>160</v>
      </c>
      <c r="AD162" s="4">
        <v>4.0149620811534455E-2</v>
      </c>
      <c r="AF162">
        <v>160</v>
      </c>
      <c r="AG162" s="4">
        <v>6.8118386591480692E-3</v>
      </c>
      <c r="AI162">
        <v>160</v>
      </c>
      <c r="AJ162" s="4">
        <v>7.2904920739366632E-3</v>
      </c>
    </row>
    <row r="163" spans="1:36" x14ac:dyDescent="0.35">
      <c r="A163" vm="342">
        <f ca="1"/>
        <v>45525</v>
      </c>
      <c r="B163" vm="343">
        <f ca="1"/>
        <v>128.5</v>
      </c>
      <c r="C163" s="4">
        <f t="shared" ca="1" si="14"/>
        <v>9.823182711198428E-3</v>
      </c>
      <c r="D163" s="4">
        <f t="shared" ca="1" si="15"/>
        <v>9.7752489046424654E-3</v>
      </c>
      <c r="E163" s="8">
        <f t="shared" ca="1" si="16"/>
        <v>1.25</v>
      </c>
      <c r="F163" s="8" vm="341">
        <f t="shared" ca="1" si="17"/>
        <v>127.25</v>
      </c>
      <c r="AC163">
        <v>161</v>
      </c>
      <c r="AD163" s="4">
        <v>2.3527768435995688E-2</v>
      </c>
      <c r="AF163">
        <v>161</v>
      </c>
      <c r="AG163" s="4">
        <v>6.8303459548852948E-3</v>
      </c>
      <c r="AI163">
        <v>161</v>
      </c>
      <c r="AJ163" s="4">
        <v>7.3167719603762513E-3</v>
      </c>
    </row>
    <row r="164" spans="1:36" x14ac:dyDescent="0.35">
      <c r="A164" vm="344">
        <f ca="1"/>
        <v>45526</v>
      </c>
      <c r="B164" vm="345">
        <f ca="1"/>
        <v>123.74</v>
      </c>
      <c r="C164" s="4">
        <f t="shared" ca="1" si="14"/>
        <v>-3.7042801556420271E-2</v>
      </c>
      <c r="D164" s="4">
        <f t="shared" ca="1" si="15"/>
        <v>-3.7746314232431778E-2</v>
      </c>
      <c r="E164" s="8">
        <f t="shared" ca="1" si="16"/>
        <v>-4.7600000000000051</v>
      </c>
      <c r="F164" s="8" vm="343">
        <f t="shared" ca="1" si="17"/>
        <v>128.5</v>
      </c>
      <c r="AC164">
        <v>162</v>
      </c>
      <c r="AD164" s="4">
        <v>0.13329961930657161</v>
      </c>
      <c r="AF164">
        <v>162</v>
      </c>
      <c r="AG164" s="4">
        <v>6.7603242633835501E-3</v>
      </c>
      <c r="AI164">
        <v>162</v>
      </c>
      <c r="AJ164" s="4">
        <v>7.1972740537449157E-3</v>
      </c>
    </row>
    <row r="165" spans="1:36" x14ac:dyDescent="0.35">
      <c r="A165" vm="346">
        <f ca="1"/>
        <v>45527</v>
      </c>
      <c r="B165" vm="347">
        <f ca="1"/>
        <v>129.37</v>
      </c>
      <c r="C165" s="4">
        <f t="shared" ca="1" si="14"/>
        <v>4.5498626151608289E-2</v>
      </c>
      <c r="D165" s="4">
        <f t="shared" ca="1" si="15"/>
        <v>4.449392582696797E-2</v>
      </c>
      <c r="E165" s="8">
        <f t="shared" ca="1" si="16"/>
        <v>5.6300000000000097</v>
      </c>
      <c r="F165" s="8" vm="345">
        <f t="shared" ca="1" si="17"/>
        <v>123.74</v>
      </c>
      <c r="AC165">
        <v>163</v>
      </c>
      <c r="AD165" s="4">
        <v>8.6359113730800768E-2</v>
      </c>
      <c r="AF165">
        <v>163</v>
      </c>
      <c r="AG165" s="4">
        <v>6.7670453400448726E-3</v>
      </c>
      <c r="AI165">
        <v>163</v>
      </c>
      <c r="AJ165" s="4">
        <v>7.3756031559147036E-3</v>
      </c>
    </row>
    <row r="166" spans="1:36" x14ac:dyDescent="0.35">
      <c r="A166" vm="348">
        <f ca="1"/>
        <v>45530</v>
      </c>
      <c r="B166" vm="349">
        <f ca="1"/>
        <v>126.46</v>
      </c>
      <c r="C166" s="4">
        <f t="shared" ca="1" si="14"/>
        <v>-2.249362294194953E-2</v>
      </c>
      <c r="D166" s="4">
        <f t="shared" ca="1" si="15"/>
        <v>-2.2750463299343521E-2</v>
      </c>
      <c r="E166" s="8">
        <f t="shared" ca="1" si="16"/>
        <v>-2.9100000000000108</v>
      </c>
      <c r="F166" s="8" vm="347">
        <f t="shared" ca="1" si="17"/>
        <v>129.37</v>
      </c>
      <c r="AC166">
        <v>164</v>
      </c>
      <c r="AD166" s="4">
        <v>5.8172636897222553E-2</v>
      </c>
      <c r="AF166">
        <v>164</v>
      </c>
      <c r="AG166" s="4">
        <v>6.8849156011284015E-3</v>
      </c>
      <c r="AI166">
        <v>164</v>
      </c>
      <c r="AJ166" s="4">
        <v>6.7989414481290393E-3</v>
      </c>
    </row>
    <row r="167" spans="1:36" x14ac:dyDescent="0.35">
      <c r="A167" vm="350">
        <f ca="1"/>
        <v>45531</v>
      </c>
      <c r="B167" vm="351">
        <f ca="1"/>
        <v>128.30000000000001</v>
      </c>
      <c r="C167" s="4">
        <f t="shared" ca="1" si="14"/>
        <v>1.4550055353471593E-2</v>
      </c>
      <c r="D167" s="4">
        <f t="shared" ca="1" si="15"/>
        <v>1.4445218991123788E-2</v>
      </c>
      <c r="E167" s="8">
        <f t="shared" ca="1" si="16"/>
        <v>1.8400000000000176</v>
      </c>
      <c r="F167" s="8" vm="349">
        <f t="shared" ca="1" si="17"/>
        <v>126.46</v>
      </c>
      <c r="AC167">
        <v>165</v>
      </c>
      <c r="AD167" s="4">
        <v>0.16855385127200112</v>
      </c>
      <c r="AF167">
        <v>165</v>
      </c>
      <c r="AG167" s="4">
        <v>6.8031649994408786E-3</v>
      </c>
      <c r="AI167">
        <v>165</v>
      </c>
      <c r="AJ167" s="4">
        <v>5.8638615983884835E-3</v>
      </c>
    </row>
    <row r="168" spans="1:36" x14ac:dyDescent="0.35">
      <c r="A168" vm="352">
        <f ca="1"/>
        <v>45532</v>
      </c>
      <c r="B168" vm="353">
        <f ca="1"/>
        <v>125.61</v>
      </c>
      <c r="C168" s="4">
        <f t="shared" ca="1" si="14"/>
        <v>-2.096648480124717E-2</v>
      </c>
      <c r="D168" s="4">
        <f t="shared" ca="1" si="15"/>
        <v>-2.1189402922429205E-2</v>
      </c>
      <c r="E168" s="8">
        <f t="shared" ca="1" si="16"/>
        <v>-2.6900000000000119</v>
      </c>
      <c r="F168" s="8" vm="351">
        <f t="shared" ca="1" si="17"/>
        <v>128.30000000000001</v>
      </c>
      <c r="AC168">
        <v>166</v>
      </c>
      <c r="AD168" s="4">
        <v>6.2883598174194422E-2</v>
      </c>
      <c r="AF168">
        <v>166</v>
      </c>
      <c r="AG168" s="4">
        <v>6.7580032442531076E-3</v>
      </c>
      <c r="AI168">
        <v>166</v>
      </c>
      <c r="AJ168" s="4">
        <v>7.9920699542851813E-3</v>
      </c>
    </row>
    <row r="169" spans="1:36" x14ac:dyDescent="0.35">
      <c r="A169" vm="354">
        <f ca="1"/>
        <v>45533</v>
      </c>
      <c r="B169" vm="355">
        <f ca="1"/>
        <v>117.59</v>
      </c>
      <c r="C169" s="4">
        <f t="shared" ca="1" si="14"/>
        <v>-6.3848419711806353E-2</v>
      </c>
      <c r="D169" s="4">
        <f t="shared" ca="1" si="15"/>
        <v>-6.597787086383719E-2</v>
      </c>
      <c r="E169" s="8">
        <f t="shared" ca="1" si="16"/>
        <v>-8.019999999999996</v>
      </c>
      <c r="F169" s="8" vm="353">
        <f t="shared" ca="1" si="17"/>
        <v>125.61</v>
      </c>
      <c r="AC169">
        <v>167</v>
      </c>
      <c r="AD169" s="4">
        <v>1.3789475270629598E-2</v>
      </c>
      <c r="AF169">
        <v>167</v>
      </c>
      <c r="AG169" s="4">
        <v>6.6787748895293262E-3</v>
      </c>
      <c r="AI169">
        <v>167</v>
      </c>
      <c r="AJ169" s="4">
        <v>7.4824647685144052E-3</v>
      </c>
    </row>
    <row r="170" spans="1:36" x14ac:dyDescent="0.35">
      <c r="A170" vm="356">
        <f ca="1"/>
        <v>45534</v>
      </c>
      <c r="B170" vm="357">
        <f ca="1"/>
        <v>119.37</v>
      </c>
      <c r="C170" s="4">
        <f t="shared" ca="1" si="14"/>
        <v>1.513734161068119E-2</v>
      </c>
      <c r="D170" s="4">
        <f t="shared" ca="1" si="15"/>
        <v>1.5023915271622633E-2</v>
      </c>
      <c r="E170" s="8">
        <f t="shared" ca="1" si="16"/>
        <v>1.7800000000000011</v>
      </c>
      <c r="F170" s="8" vm="355">
        <f t="shared" ca="1" si="17"/>
        <v>117.59</v>
      </c>
      <c r="AC170">
        <v>168</v>
      </c>
      <c r="AD170" s="4">
        <v>4.6408696232050524E-2</v>
      </c>
      <c r="AF170">
        <v>168</v>
      </c>
      <c r="AG170" s="4">
        <v>6.8070053711230009E-3</v>
      </c>
      <c r="AI170">
        <v>168</v>
      </c>
      <c r="AJ170" s="4">
        <v>6.6011062207897118E-3</v>
      </c>
    </row>
    <row r="171" spans="1:36" x14ac:dyDescent="0.35">
      <c r="A171" vm="358">
        <f ca="1"/>
        <v>45538</v>
      </c>
      <c r="B171" vm="359">
        <f ca="1"/>
        <v>108</v>
      </c>
      <c r="C171" s="4">
        <f t="shared" ca="1" si="14"/>
        <v>-9.5250062829856777E-2</v>
      </c>
      <c r="D171" s="4">
        <f t="shared" ca="1" si="15"/>
        <v>-0.10009668598272735</v>
      </c>
      <c r="E171" s="8">
        <f t="shared" ca="1" si="16"/>
        <v>-11.370000000000005</v>
      </c>
      <c r="F171" s="8" vm="357">
        <f t="shared" ca="1" si="17"/>
        <v>119.37</v>
      </c>
      <c r="AC171">
        <v>169</v>
      </c>
      <c r="AD171" s="4">
        <v>4.6155522922990869E-2</v>
      </c>
      <c r="AF171">
        <v>169</v>
      </c>
      <c r="AG171" s="4">
        <v>6.5632178020635168E-3</v>
      </c>
      <c r="AI171">
        <v>169</v>
      </c>
      <c r="AJ171" s="4">
        <v>8.1603072186007437E-3</v>
      </c>
    </row>
    <row r="172" spans="1:36" x14ac:dyDescent="0.35">
      <c r="A172" vm="360">
        <f ca="1"/>
        <v>45539</v>
      </c>
      <c r="B172" vm="361">
        <f ca="1"/>
        <v>106.21</v>
      </c>
      <c r="C172" s="4">
        <f t="shared" ca="1" si="14"/>
        <v>-1.6574074074074133E-2</v>
      </c>
      <c r="D172" s="4">
        <f t="shared" ca="1" si="15"/>
        <v>-1.6712960790771555E-2</v>
      </c>
      <c r="E172" s="8">
        <f t="shared" ca="1" si="16"/>
        <v>-1.7900000000000063</v>
      </c>
      <c r="F172" s="8" vm="359">
        <f t="shared" ca="1" si="17"/>
        <v>108</v>
      </c>
      <c r="AC172">
        <v>170</v>
      </c>
      <c r="AD172" s="4">
        <v>5.4021791001625317E-2</v>
      </c>
      <c r="AF172">
        <v>170</v>
      </c>
      <c r="AG172" s="4">
        <v>6.7352543138935158E-3</v>
      </c>
      <c r="AI172">
        <v>170</v>
      </c>
      <c r="AJ172" s="4">
        <v>6.2702735958928982E-3</v>
      </c>
    </row>
    <row r="173" spans="1:36" x14ac:dyDescent="0.35">
      <c r="A173" vm="362">
        <f ca="1"/>
        <v>45540</v>
      </c>
      <c r="B173" vm="363">
        <f ca="1"/>
        <v>107.21</v>
      </c>
      <c r="C173" s="4">
        <f t="shared" ca="1" si="14"/>
        <v>9.4153092929102726E-3</v>
      </c>
      <c r="D173" s="4">
        <f t="shared" ca="1" si="15"/>
        <v>9.371261534700203E-3</v>
      </c>
      <c r="E173" s="8">
        <f t="shared" ca="1" si="16"/>
        <v>1</v>
      </c>
      <c r="F173" s="8" vm="361">
        <f t="shared" ca="1" si="17"/>
        <v>106.21</v>
      </c>
      <c r="AC173">
        <v>171</v>
      </c>
      <c r="AD173" s="4">
        <v>6.5214538454091253E-2</v>
      </c>
      <c r="AF173">
        <v>171</v>
      </c>
      <c r="AG173" s="4">
        <v>6.8378344763506908E-3</v>
      </c>
      <c r="AI173">
        <v>171</v>
      </c>
      <c r="AJ173" s="4">
        <v>7.9048424360915782E-3</v>
      </c>
    </row>
    <row r="174" spans="1:36" x14ac:dyDescent="0.35">
      <c r="A174" vm="364">
        <f ca="1"/>
        <v>45541</v>
      </c>
      <c r="B174" vm="365">
        <f ca="1"/>
        <v>102.83</v>
      </c>
      <c r="C174" s="4">
        <f t="shared" ca="1" si="14"/>
        <v>-4.0854397910642624E-2</v>
      </c>
      <c r="D174" s="4">
        <f t="shared" ca="1" si="15"/>
        <v>-4.1712388627049075E-2</v>
      </c>
      <c r="E174" s="8">
        <f t="shared" ca="1" si="16"/>
        <v>-4.3799999999999955</v>
      </c>
      <c r="F174" s="8" vm="363">
        <f t="shared" ca="1" si="17"/>
        <v>107.21</v>
      </c>
      <c r="AC174">
        <v>172</v>
      </c>
      <c r="AD174" s="4">
        <v>4.1254827703486992E-2</v>
      </c>
      <c r="AF174">
        <v>172</v>
      </c>
      <c r="AG174" s="4">
        <v>6.7896755509891096E-3</v>
      </c>
      <c r="AI174">
        <v>172</v>
      </c>
      <c r="AJ174" s="4">
        <v>9.159969525857058E-3</v>
      </c>
    </row>
    <row r="175" spans="1:36" x14ac:dyDescent="0.35">
      <c r="A175" vm="366">
        <f ca="1"/>
        <v>45544</v>
      </c>
      <c r="B175" vm="367">
        <f ca="1"/>
        <v>106.47</v>
      </c>
      <c r="C175" s="4">
        <f t="shared" ca="1" si="14"/>
        <v>3.5398230088495582E-2</v>
      </c>
      <c r="D175" s="4">
        <f t="shared" ca="1" si="15"/>
        <v>3.4786116085415604E-2</v>
      </c>
      <c r="E175" s="8">
        <f t="shared" ca="1" si="16"/>
        <v>3.6400000000000006</v>
      </c>
      <c r="F175" s="8" vm="365">
        <f t="shared" ca="1" si="17"/>
        <v>102.83</v>
      </c>
      <c r="AC175">
        <v>173</v>
      </c>
      <c r="AD175" s="4">
        <v>0.12477697428232737</v>
      </c>
      <c r="AF175">
        <v>173</v>
      </c>
      <c r="AG175" s="4">
        <v>6.7608498991281124E-3</v>
      </c>
      <c r="AI175">
        <v>173</v>
      </c>
      <c r="AJ175" s="4">
        <v>6.3298996335048674E-3</v>
      </c>
    </row>
    <row r="176" spans="1:36" x14ac:dyDescent="0.35">
      <c r="A176" vm="368">
        <f ca="1"/>
        <v>45545</v>
      </c>
      <c r="B176" vm="369">
        <f ca="1"/>
        <v>108.1</v>
      </c>
      <c r="C176" s="4">
        <f t="shared" ca="1" si="14"/>
        <v>1.5309476847938343E-2</v>
      </c>
      <c r="D176" s="4">
        <f t="shared" ca="1" si="15"/>
        <v>1.5193469318647681E-2</v>
      </c>
      <c r="E176" s="8">
        <f t="shared" ca="1" si="16"/>
        <v>1.6299999999999955</v>
      </c>
      <c r="F176" s="8" vm="367">
        <f t="shared" ca="1" si="17"/>
        <v>106.47</v>
      </c>
      <c r="AC176">
        <v>174</v>
      </c>
      <c r="AD176" s="4">
        <v>5.5577199524370478E-2</v>
      </c>
      <c r="AF176">
        <v>174</v>
      </c>
      <c r="AG176" s="4">
        <v>6.7159305606428613E-3</v>
      </c>
      <c r="AI176">
        <v>174</v>
      </c>
      <c r="AJ176" s="4">
        <v>5.905183023813149E-3</v>
      </c>
    </row>
    <row r="177" spans="1:36" x14ac:dyDescent="0.35">
      <c r="A177" vm="370">
        <f ca="1"/>
        <v>45546</v>
      </c>
      <c r="B177" vm="371">
        <f ca="1"/>
        <v>116.91</v>
      </c>
      <c r="C177" s="4">
        <f t="shared" ca="1" si="14"/>
        <v>8.1498612395929718E-2</v>
      </c>
      <c r="D177" s="4">
        <f t="shared" ca="1" si="15"/>
        <v>7.8347683373565069E-2</v>
      </c>
      <c r="E177" s="8">
        <f t="shared" ca="1" si="16"/>
        <v>8.8100000000000023</v>
      </c>
      <c r="F177" s="8" vm="369">
        <f t="shared" ca="1" si="17"/>
        <v>108.1</v>
      </c>
      <c r="AC177">
        <v>175</v>
      </c>
      <c r="AD177" s="4">
        <v>5.3732321933890506E-2</v>
      </c>
      <c r="AF177">
        <v>175</v>
      </c>
      <c r="AG177" s="4">
        <v>6.7039759721096723E-3</v>
      </c>
      <c r="AI177">
        <v>175</v>
      </c>
      <c r="AJ177" s="4">
        <v>8.5288582643132712E-3</v>
      </c>
    </row>
    <row r="178" spans="1:36" x14ac:dyDescent="0.35">
      <c r="A178" vm="372">
        <f ca="1"/>
        <v>45547</v>
      </c>
      <c r="B178" vm="373">
        <f ca="1"/>
        <v>119.14</v>
      </c>
      <c r="C178" s="4">
        <f t="shared" ca="1" si="14"/>
        <v>1.9074501753485622E-2</v>
      </c>
      <c r="D178" s="4">
        <f t="shared" ca="1" si="15"/>
        <v>1.8894864181813922E-2</v>
      </c>
      <c r="E178" s="8">
        <f t="shared" ca="1" si="16"/>
        <v>2.230000000000004</v>
      </c>
      <c r="F178" s="8" vm="371">
        <f t="shared" ca="1" si="17"/>
        <v>116.91</v>
      </c>
      <c r="AC178">
        <v>176</v>
      </c>
      <c r="AD178" s="4">
        <v>9.4891134312790726E-2</v>
      </c>
      <c r="AF178">
        <v>176</v>
      </c>
      <c r="AG178" s="4">
        <v>6.8729015373826859E-3</v>
      </c>
      <c r="AI178">
        <v>176</v>
      </c>
      <c r="AJ178" s="4">
        <v>5.9621733610015111E-3</v>
      </c>
    </row>
    <row r="179" spans="1:36" x14ac:dyDescent="0.35">
      <c r="A179" vm="374">
        <f ca="1"/>
        <v>45548</v>
      </c>
      <c r="B179" vm="375">
        <f ca="1"/>
        <v>119.1</v>
      </c>
      <c r="C179" s="4">
        <f t="shared" ca="1" si="14"/>
        <v>-3.3573946617430125E-4</v>
      </c>
      <c r="D179" s="4">
        <f t="shared" ca="1" si="15"/>
        <v>-3.3579583928697982E-4</v>
      </c>
      <c r="E179" s="8">
        <f t="shared" ca="1" si="16"/>
        <v>-4.0000000000006253E-2</v>
      </c>
      <c r="F179" s="8" vm="373">
        <f t="shared" ca="1" si="17"/>
        <v>119.14</v>
      </c>
      <c r="AC179">
        <v>177</v>
      </c>
      <c r="AD179" s="4">
        <v>5.070963440799129E-2</v>
      </c>
      <c r="AF179">
        <v>177</v>
      </c>
      <c r="AG179" s="4">
        <v>6.664733363333889E-3</v>
      </c>
      <c r="AI179">
        <v>177</v>
      </c>
      <c r="AJ179" s="4">
        <v>7.358705963167623E-3</v>
      </c>
    </row>
    <row r="180" spans="1:36" x14ac:dyDescent="0.35">
      <c r="A180" vm="376">
        <f ca="1"/>
        <v>45551</v>
      </c>
      <c r="B180" vm="377">
        <f ca="1"/>
        <v>116.78</v>
      </c>
      <c r="C180" s="4">
        <f t="shared" ca="1" si="14"/>
        <v>-1.9479429051217408E-2</v>
      </c>
      <c r="D180" s="4">
        <f t="shared" ca="1" si="15"/>
        <v>-1.9671653505862762E-2</v>
      </c>
      <c r="E180" s="8">
        <f t="shared" ca="1" si="16"/>
        <v>-2.3199999999999932</v>
      </c>
      <c r="F180" s="8" vm="375">
        <f t="shared" ca="1" si="17"/>
        <v>119.1</v>
      </c>
      <c r="AC180">
        <v>178</v>
      </c>
      <c r="AD180" s="4">
        <v>8.5749828455593216E-2</v>
      </c>
      <c r="AF180">
        <v>178</v>
      </c>
      <c r="AG180" s="4">
        <v>6.8329931936889762E-3</v>
      </c>
      <c r="AI180">
        <v>178</v>
      </c>
      <c r="AJ180" s="4">
        <v>6.7221270022993799E-3</v>
      </c>
    </row>
    <row r="181" spans="1:36" x14ac:dyDescent="0.35">
      <c r="A181" vm="378">
        <f ca="1"/>
        <v>45552</v>
      </c>
      <c r="B181" vm="379">
        <f ca="1"/>
        <v>115.59</v>
      </c>
      <c r="C181" s="4">
        <f t="shared" ca="1" si="14"/>
        <v>-1.0190101044699416E-2</v>
      </c>
      <c r="D181" s="4">
        <f t="shared" ca="1" si="15"/>
        <v>-1.0242375549215622E-2</v>
      </c>
      <c r="E181" s="8">
        <f t="shared" ca="1" si="16"/>
        <v>-1.1899999999999977</v>
      </c>
      <c r="F181" s="8" vm="377">
        <f t="shared" ca="1" si="17"/>
        <v>116.78</v>
      </c>
      <c r="AC181">
        <v>179</v>
      </c>
      <c r="AD181" s="4">
        <v>0.11122645905390841</v>
      </c>
      <c r="AF181">
        <v>179</v>
      </c>
      <c r="AG181" s="4">
        <v>6.7393903212394825E-3</v>
      </c>
      <c r="AI181">
        <v>179</v>
      </c>
      <c r="AJ181" s="4">
        <v>7.0867255457739836E-3</v>
      </c>
    </row>
    <row r="182" spans="1:36" x14ac:dyDescent="0.35">
      <c r="A182" vm="380">
        <f ca="1"/>
        <v>45553</v>
      </c>
      <c r="B182" vm="381">
        <f ca="1"/>
        <v>113.37</v>
      </c>
      <c r="C182" s="4">
        <f t="shared" ca="1" si="14"/>
        <v>-1.9205813651699963E-2</v>
      </c>
      <c r="D182" s="4">
        <f t="shared" ca="1" si="15"/>
        <v>-1.9392641276668576E-2</v>
      </c>
      <c r="E182" s="8">
        <f t="shared" ca="1" si="16"/>
        <v>-2.2199999999999989</v>
      </c>
      <c r="F182" s="8" vm="379">
        <f t="shared" ca="1" si="17"/>
        <v>115.59</v>
      </c>
      <c r="AC182">
        <v>180</v>
      </c>
      <c r="AD182" s="4">
        <v>2.4992750653470407E-2</v>
      </c>
      <c r="AF182">
        <v>180</v>
      </c>
      <c r="AG182" s="4">
        <v>6.6927559271501907E-3</v>
      </c>
      <c r="AI182">
        <v>180</v>
      </c>
      <c r="AJ182" s="4">
        <v>8.4518719592191517E-3</v>
      </c>
    </row>
    <row r="183" spans="1:36" x14ac:dyDescent="0.35">
      <c r="A183" vm="382">
        <f ca="1"/>
        <v>45554</v>
      </c>
      <c r="B183" vm="383">
        <f ca="1"/>
        <v>117.87</v>
      </c>
      <c r="C183" s="4">
        <f t="shared" ca="1" si="14"/>
        <v>3.9693040486901296E-2</v>
      </c>
      <c r="D183" s="4">
        <f t="shared" ca="1" si="15"/>
        <v>3.8925516208970862E-2</v>
      </c>
      <c r="E183" s="8">
        <f t="shared" ca="1" si="16"/>
        <v>4.5</v>
      </c>
      <c r="F183" s="8" vm="381">
        <f t="shared" ca="1" si="17"/>
        <v>113.37</v>
      </c>
      <c r="AC183">
        <v>181</v>
      </c>
      <c r="AD183" s="4">
        <v>1.981387477011708E-2</v>
      </c>
      <c r="AF183">
        <v>181</v>
      </c>
      <c r="AG183" s="4">
        <v>6.8939267648527123E-3</v>
      </c>
      <c r="AI183">
        <v>181</v>
      </c>
      <c r="AJ183" s="4">
        <v>7.432850286286082E-3</v>
      </c>
    </row>
    <row r="184" spans="1:36" x14ac:dyDescent="0.35">
      <c r="A184" vm="384">
        <f ca="1"/>
        <v>45555</v>
      </c>
      <c r="B184" vm="385">
        <f ca="1"/>
        <v>116</v>
      </c>
      <c r="C184" s="4">
        <f t="shared" ca="1" si="14"/>
        <v>-1.5864935946381643E-2</v>
      </c>
      <c r="D184" s="4">
        <f t="shared" ca="1" si="15"/>
        <v>-1.5992131132113445E-2</v>
      </c>
      <c r="E184" s="8">
        <f t="shared" ca="1" si="16"/>
        <v>-1.8700000000000045</v>
      </c>
      <c r="F184" s="8" vm="383">
        <f t="shared" ca="1" si="17"/>
        <v>117.87</v>
      </c>
      <c r="AC184">
        <v>182</v>
      </c>
      <c r="AD184" s="4">
        <v>2.1039803531400007E-2</v>
      </c>
      <c r="AF184">
        <v>182</v>
      </c>
      <c r="AG184" s="4">
        <v>6.7090513197434554E-3</v>
      </c>
      <c r="AI184">
        <v>182</v>
      </c>
      <c r="AJ184" s="4">
        <v>6.5791140731366014E-3</v>
      </c>
    </row>
    <row r="185" spans="1:36" x14ac:dyDescent="0.35">
      <c r="A185" vm="386">
        <f ca="1"/>
        <v>45558</v>
      </c>
      <c r="B185" vm="387">
        <f ca="1"/>
        <v>116.26</v>
      </c>
      <c r="C185" s="4">
        <f t="shared" ca="1" si="14"/>
        <v>2.2413793103448717E-3</v>
      </c>
      <c r="D185" s="4">
        <f t="shared" ca="1" si="15"/>
        <v>2.2388711668398825E-3</v>
      </c>
      <c r="E185" s="8">
        <f t="shared" ca="1" si="16"/>
        <v>0.26000000000000512</v>
      </c>
      <c r="F185" s="8" vm="385">
        <f t="shared" ca="1" si="17"/>
        <v>116</v>
      </c>
      <c r="AC185">
        <v>183</v>
      </c>
      <c r="AD185" s="4">
        <v>3.3408888754683071E-2</v>
      </c>
      <c r="AF185">
        <v>183</v>
      </c>
      <c r="AG185" s="4">
        <v>6.782048400380397E-3</v>
      </c>
      <c r="AI185">
        <v>183</v>
      </c>
      <c r="AJ185" s="4">
        <v>7.8825535126404982E-3</v>
      </c>
    </row>
    <row r="186" spans="1:36" x14ac:dyDescent="0.35">
      <c r="A186" vm="388">
        <f ca="1"/>
        <v>45559</v>
      </c>
      <c r="B186" vm="389">
        <f ca="1"/>
        <v>120.87</v>
      </c>
      <c r="C186" s="4">
        <f t="shared" ca="1" si="14"/>
        <v>3.9652503010493716E-2</v>
      </c>
      <c r="D186" s="4">
        <f t="shared" ca="1" si="15"/>
        <v>3.8886525598161081E-2</v>
      </c>
      <c r="E186" s="8">
        <f t="shared" ca="1" si="16"/>
        <v>4.6099999999999994</v>
      </c>
      <c r="F186" s="8" vm="387">
        <f t="shared" ca="1" si="17"/>
        <v>116.26</v>
      </c>
      <c r="AC186">
        <v>184</v>
      </c>
      <c r="AD186" s="4">
        <v>0.12164131423736453</v>
      </c>
      <c r="AF186">
        <v>184</v>
      </c>
      <c r="AG186" s="4">
        <v>6.7496339892674732E-3</v>
      </c>
      <c r="AI186">
        <v>184</v>
      </c>
      <c r="AJ186" s="4">
        <v>8.5547437014975407E-3</v>
      </c>
    </row>
    <row r="187" spans="1:36" x14ac:dyDescent="0.35">
      <c r="A187" vm="390">
        <f ca="1"/>
        <v>45560</v>
      </c>
      <c r="B187" vm="391">
        <f ca="1"/>
        <v>123.51</v>
      </c>
      <c r="C187" s="4">
        <f t="shared" ca="1" si="14"/>
        <v>2.1841648051625716E-2</v>
      </c>
      <c r="D187" s="4">
        <f t="shared" ca="1" si="15"/>
        <v>2.1606536578557402E-2</v>
      </c>
      <c r="E187" s="8">
        <f t="shared" ca="1" si="16"/>
        <v>2.6400000000000006</v>
      </c>
      <c r="F187" s="8" vm="389">
        <f t="shared" ca="1" si="17"/>
        <v>120.87</v>
      </c>
      <c r="AC187">
        <v>185</v>
      </c>
      <c r="AD187" s="4">
        <v>2.1149563849893048E-2</v>
      </c>
      <c r="AF187">
        <v>185</v>
      </c>
      <c r="AG187" s="4">
        <v>6.7864345516042042E-3</v>
      </c>
      <c r="AI187">
        <v>185</v>
      </c>
      <c r="AJ187" s="4">
        <v>7.0184637544030374E-3</v>
      </c>
    </row>
    <row r="188" spans="1:36" x14ac:dyDescent="0.35">
      <c r="A188" vm="392">
        <f ca="1"/>
        <v>45561</v>
      </c>
      <c r="B188" vm="393">
        <f ca="1"/>
        <v>124.04</v>
      </c>
      <c r="C188" s="4">
        <f t="shared" ca="1" si="14"/>
        <v>4.29115051412842E-3</v>
      </c>
      <c r="D188" s="4">
        <f t="shared" ca="1" si="15"/>
        <v>4.2819697823250902E-3</v>
      </c>
      <c r="E188" s="8">
        <f t="shared" ca="1" si="16"/>
        <v>0.53000000000000114</v>
      </c>
      <c r="F188" s="8" vm="391">
        <f t="shared" ca="1" si="17"/>
        <v>123.51</v>
      </c>
      <c r="AC188">
        <v>186</v>
      </c>
      <c r="AD188" s="4">
        <v>6.7775524990945787E-2</v>
      </c>
      <c r="AF188">
        <v>186</v>
      </c>
      <c r="AG188" s="4">
        <v>6.8067958620663289E-3</v>
      </c>
      <c r="AI188">
        <v>186</v>
      </c>
      <c r="AJ188" s="4">
        <v>6.0645958894581017E-3</v>
      </c>
    </row>
    <row r="189" spans="1:36" x14ac:dyDescent="0.35">
      <c r="A189" vm="394">
        <f ca="1"/>
        <v>45562</v>
      </c>
      <c r="B189" vm="395">
        <f ca="1"/>
        <v>121.4</v>
      </c>
      <c r="C189" s="4">
        <f t="shared" ca="1" si="14"/>
        <v>-2.1283456949371175E-2</v>
      </c>
      <c r="D189" s="4">
        <f t="shared" ca="1" si="15"/>
        <v>-2.1513215606850308E-2</v>
      </c>
      <c r="E189" s="8">
        <f t="shared" ca="1" si="16"/>
        <v>-2.6400000000000006</v>
      </c>
      <c r="F189" s="8" vm="393">
        <f t="shared" ca="1" si="17"/>
        <v>124.04</v>
      </c>
      <c r="AC189">
        <v>187</v>
      </c>
      <c r="AD189" s="4">
        <v>2.0115933459185886E-2</v>
      </c>
      <c r="AF189">
        <v>187</v>
      </c>
      <c r="AG189" s="4">
        <v>6.9416678114566479E-3</v>
      </c>
      <c r="AI189">
        <v>187</v>
      </c>
      <c r="AJ189" s="4">
        <v>7.1862079059345765E-3</v>
      </c>
    </row>
    <row r="190" spans="1:36" x14ac:dyDescent="0.35">
      <c r="A190" vm="396">
        <f ca="1"/>
        <v>45565</v>
      </c>
      <c r="B190" vm="397">
        <f ca="1"/>
        <v>121.44</v>
      </c>
      <c r="C190" s="4">
        <f t="shared" ca="1" si="14"/>
        <v>3.2948929159795751E-4</v>
      </c>
      <c r="D190" s="4">
        <f t="shared" ca="1" si="15"/>
        <v>3.2943502192181391E-4</v>
      </c>
      <c r="E190" s="8">
        <f t="shared" ca="1" si="16"/>
        <v>3.9999999999992042E-2</v>
      </c>
      <c r="F190" s="8" vm="395">
        <f t="shared" ca="1" si="17"/>
        <v>121.4</v>
      </c>
      <c r="AC190">
        <v>188</v>
      </c>
      <c r="AD190" s="4">
        <v>4.1608513668248116E-2</v>
      </c>
      <c r="AF190">
        <v>188</v>
      </c>
      <c r="AG190" s="4">
        <v>6.8473989214342503E-3</v>
      </c>
      <c r="AI190">
        <v>188</v>
      </c>
      <c r="AJ190" s="4">
        <v>5.8696430036698196E-3</v>
      </c>
    </row>
    <row r="191" spans="1:36" x14ac:dyDescent="0.35">
      <c r="A191" vm="398">
        <f ca="1"/>
        <v>45566</v>
      </c>
      <c r="B191" vm="399">
        <f ca="1"/>
        <v>117</v>
      </c>
      <c r="C191" s="4">
        <f t="shared" ca="1" si="14"/>
        <v>-3.6561264822134371E-2</v>
      </c>
      <c r="D191" s="4">
        <f t="shared" ca="1" si="15"/>
        <v>-3.7246378849563687E-2</v>
      </c>
      <c r="E191" s="8">
        <f t="shared" ca="1" si="16"/>
        <v>-4.4399999999999977</v>
      </c>
      <c r="F191" s="8" vm="397">
        <f t="shared" ca="1" si="17"/>
        <v>121.44</v>
      </c>
      <c r="AC191">
        <v>189</v>
      </c>
      <c r="AD191" s="4">
        <v>5.4501830847597688E-2</v>
      </c>
      <c r="AF191">
        <v>189</v>
      </c>
      <c r="AG191" s="4">
        <v>6.8368257899798926E-3</v>
      </c>
      <c r="AI191">
        <v>189</v>
      </c>
      <c r="AJ191" s="4">
        <v>6.9410001026343595E-3</v>
      </c>
    </row>
    <row r="192" spans="1:36" x14ac:dyDescent="0.35">
      <c r="A192" vm="400">
        <f ca="1"/>
        <v>45567</v>
      </c>
      <c r="B192" vm="401">
        <f ca="1"/>
        <v>118.85</v>
      </c>
      <c r="C192" s="4">
        <f t="shared" ca="1" si="14"/>
        <v>1.5811965811965763E-2</v>
      </c>
      <c r="D192" s="4">
        <f t="shared" ca="1" si="15"/>
        <v>1.5688259008446757E-2</v>
      </c>
      <c r="E192" s="8">
        <f t="shared" ca="1" si="16"/>
        <v>1.8499999999999943</v>
      </c>
      <c r="F192" s="8" vm="399">
        <f t="shared" ca="1" si="17"/>
        <v>117</v>
      </c>
      <c r="AC192">
        <v>190</v>
      </c>
      <c r="AD192" s="4">
        <v>4.2641719189112248E-2</v>
      </c>
      <c r="AF192">
        <v>190</v>
      </c>
      <c r="AG192" s="4">
        <v>6.7607812623749312E-3</v>
      </c>
      <c r="AI192">
        <v>190</v>
      </c>
      <c r="AJ192" s="4">
        <v>7.0786747098372368E-3</v>
      </c>
    </row>
    <row r="193" spans="1:36" x14ac:dyDescent="0.35">
      <c r="A193" vm="402">
        <f ca="1"/>
        <v>45568</v>
      </c>
      <c r="B193" vm="403">
        <f ca="1"/>
        <v>122.85</v>
      </c>
      <c r="C193" s="4">
        <f t="shared" ca="1" si="14"/>
        <v>3.3655868742111905E-2</v>
      </c>
      <c r="D193" s="4">
        <f t="shared" ca="1" si="15"/>
        <v>3.3101905160985295E-2</v>
      </c>
      <c r="E193" s="8">
        <f t="shared" ca="1" si="16"/>
        <v>4</v>
      </c>
      <c r="F193" s="8" vm="401">
        <f t="shared" ca="1" si="17"/>
        <v>118.85</v>
      </c>
      <c r="AC193">
        <v>191</v>
      </c>
      <c r="AD193" s="4">
        <v>6.8850895677692842E-2</v>
      </c>
      <c r="AF193">
        <v>191</v>
      </c>
      <c r="AG193" s="4">
        <v>6.7231993838100931E-3</v>
      </c>
      <c r="AI193">
        <v>191</v>
      </c>
      <c r="AJ193" s="4">
        <v>8.9667612062538163E-3</v>
      </c>
    </row>
    <row r="194" spans="1:36" x14ac:dyDescent="0.35">
      <c r="A194" vm="404">
        <f ca="1"/>
        <v>45569</v>
      </c>
      <c r="B194" vm="405">
        <f ca="1"/>
        <v>124.92</v>
      </c>
      <c r="C194" s="4">
        <f t="shared" ca="1" si="14"/>
        <v>1.6849816849816911E-2</v>
      </c>
      <c r="D194" s="4">
        <f t="shared" ca="1" si="15"/>
        <v>1.6709433447689864E-2</v>
      </c>
      <c r="E194" s="8">
        <f t="shared" ca="1" si="16"/>
        <v>2.0700000000000074</v>
      </c>
      <c r="F194" s="8" vm="403">
        <f t="shared" ca="1" si="17"/>
        <v>122.85</v>
      </c>
      <c r="AC194">
        <v>192</v>
      </c>
      <c r="AD194" s="4">
        <v>7.4400197942340943E-2</v>
      </c>
      <c r="AF194">
        <v>192</v>
      </c>
      <c r="AG194" s="4">
        <v>6.7558849313518552E-3</v>
      </c>
      <c r="AI194">
        <v>192</v>
      </c>
      <c r="AJ194" s="4">
        <v>5.8131625094688224E-3</v>
      </c>
    </row>
    <row r="195" spans="1:36" x14ac:dyDescent="0.35">
      <c r="A195" vm="406">
        <f ca="1"/>
        <v>45572</v>
      </c>
      <c r="B195" vm="407">
        <f ca="1"/>
        <v>127.72</v>
      </c>
      <c r="C195" s="4">
        <f t="shared" ca="1" si="14"/>
        <v>2.2414345180915764E-2</v>
      </c>
      <c r="D195" s="4">
        <f t="shared" ca="1" si="15"/>
        <v>2.216683543170344E-2</v>
      </c>
      <c r="E195" s="8">
        <f t="shared" ca="1" si="16"/>
        <v>2.7999999999999972</v>
      </c>
      <c r="F195" s="8" vm="405">
        <f t="shared" ca="1" si="17"/>
        <v>124.92</v>
      </c>
      <c r="AC195">
        <v>193</v>
      </c>
      <c r="AD195" s="4">
        <v>1.8576774094947988E-2</v>
      </c>
      <c r="AF195">
        <v>193</v>
      </c>
      <c r="AG195" s="4">
        <v>6.7548579303194686E-3</v>
      </c>
      <c r="AI195">
        <v>193</v>
      </c>
      <c r="AJ195" s="4">
        <v>7.8326851349455155E-3</v>
      </c>
    </row>
    <row r="196" spans="1:36" x14ac:dyDescent="0.35">
      <c r="A196" vm="408">
        <f ca="1"/>
        <v>45573</v>
      </c>
      <c r="B196" vm="409">
        <f ca="1"/>
        <v>132.88999999999999</v>
      </c>
      <c r="C196" s="4">
        <f t="shared" ca="1" si="14"/>
        <v>4.0479173191355994E-2</v>
      </c>
      <c r="D196" s="4">
        <f t="shared" ca="1" si="15"/>
        <v>3.9681350496835091E-2</v>
      </c>
      <c r="E196" s="8">
        <f t="shared" ca="1" si="16"/>
        <v>5.1699999999999875</v>
      </c>
      <c r="F196" s="8" vm="407">
        <f t="shared" ca="1" si="17"/>
        <v>127.72</v>
      </c>
      <c r="AC196">
        <v>194</v>
      </c>
      <c r="AD196" s="4">
        <v>9.4786787739664702E-2</v>
      </c>
      <c r="AF196">
        <v>194</v>
      </c>
      <c r="AG196" s="4">
        <v>6.8709113646914979E-3</v>
      </c>
      <c r="AI196">
        <v>194</v>
      </c>
      <c r="AJ196" s="4">
        <v>1.0205630358775163E-2</v>
      </c>
    </row>
    <row r="197" spans="1:36" x14ac:dyDescent="0.35">
      <c r="A197" vm="410">
        <f ca="1"/>
        <v>45574</v>
      </c>
      <c r="B197" vm="411">
        <f ca="1"/>
        <v>132.65</v>
      </c>
      <c r="C197" s="4">
        <f t="shared" ref="C197:C260" ca="1" si="18">IFERROR((B197-B196)/B196,C196)</f>
        <v>-1.8060049665135126E-3</v>
      </c>
      <c r="D197" s="4">
        <f t="shared" ref="D197:D260" ca="1" si="19">IFERROR(LN(B197/B196),D196)</f>
        <v>-1.8076377596675597E-3</v>
      </c>
      <c r="E197" s="8">
        <f t="shared" ref="E197:E260" ca="1" si="20">IFERROR(B197-B196,0)</f>
        <v>-0.23999999999998067</v>
      </c>
      <c r="F197" s="8" vm="409">
        <f t="shared" ref="F197:F260" ca="1" si="21">IFERROR(B196,F196)</f>
        <v>132.88999999999999</v>
      </c>
      <c r="AC197">
        <v>195</v>
      </c>
      <c r="AD197" s="4">
        <v>6.301268686176785E-2</v>
      </c>
      <c r="AF197">
        <v>195</v>
      </c>
      <c r="AG197" s="4">
        <v>6.8097567431379827E-3</v>
      </c>
      <c r="AI197">
        <v>195</v>
      </c>
      <c r="AJ197" s="4">
        <v>7.2080447615284317E-3</v>
      </c>
    </row>
    <row r="198" spans="1:36" x14ac:dyDescent="0.35">
      <c r="A198" vm="412">
        <f ca="1"/>
        <v>45575</v>
      </c>
      <c r="B198" vm="413">
        <f ca="1"/>
        <v>134.81</v>
      </c>
      <c r="C198" s="4">
        <f t="shared" ca="1" si="18"/>
        <v>1.6283452695062168E-2</v>
      </c>
      <c r="D198" s="4">
        <f t="shared" ca="1" si="19"/>
        <v>1.6152299119223994E-2</v>
      </c>
      <c r="E198" s="8">
        <f t="shared" ca="1" si="20"/>
        <v>2.1599999999999966</v>
      </c>
      <c r="F198" s="8" vm="411">
        <f t="shared" ca="1" si="21"/>
        <v>132.65</v>
      </c>
      <c r="AC198">
        <v>196</v>
      </c>
      <c r="AD198" s="4">
        <v>1.7840190893022596E-2</v>
      </c>
      <c r="AF198">
        <v>196</v>
      </c>
      <c r="AG198" s="4">
        <v>6.8285396749801497E-3</v>
      </c>
      <c r="AI198">
        <v>196</v>
      </c>
      <c r="AJ198" s="4">
        <v>5.3632343572028885E-3</v>
      </c>
    </row>
    <row r="199" spans="1:36" x14ac:dyDescent="0.35">
      <c r="A199" vm="414">
        <f ca="1"/>
        <v>45576</v>
      </c>
      <c r="B199" vm="415">
        <f ca="1"/>
        <v>134.80000000000001</v>
      </c>
      <c r="C199" s="4">
        <f t="shared" ca="1" si="18"/>
        <v>-7.4178473406949811E-5</v>
      </c>
      <c r="D199" s="4">
        <f t="shared" ca="1" si="19"/>
        <v>-7.4181224765981015E-5</v>
      </c>
      <c r="E199" s="8">
        <f t="shared" ca="1" si="20"/>
        <v>-9.9999999999909051E-3</v>
      </c>
      <c r="F199" s="8" vm="413">
        <f t="shared" ca="1" si="21"/>
        <v>134.81</v>
      </c>
      <c r="AC199">
        <v>197</v>
      </c>
      <c r="AD199" s="4">
        <v>8.6394818152457559E-2</v>
      </c>
      <c r="AF199">
        <v>197</v>
      </c>
      <c r="AG199" s="4">
        <v>6.8594611416387622E-3</v>
      </c>
      <c r="AI199">
        <v>197</v>
      </c>
      <c r="AJ199" s="4">
        <v>6.3906794757064653E-3</v>
      </c>
    </row>
    <row r="200" spans="1:36" x14ac:dyDescent="0.35">
      <c r="A200" vm="416">
        <f ca="1"/>
        <v>45579</v>
      </c>
      <c r="B200" vm="417">
        <f ca="1"/>
        <v>138.07</v>
      </c>
      <c r="C200" s="4">
        <f t="shared" ca="1" si="18"/>
        <v>2.4258160237388585E-2</v>
      </c>
      <c r="D200" s="4">
        <f t="shared" ca="1" si="19"/>
        <v>2.3968604449854193E-2</v>
      </c>
      <c r="E200" s="8">
        <f t="shared" ca="1" si="20"/>
        <v>3.2699999999999818</v>
      </c>
      <c r="F200" s="8" vm="415">
        <f t="shared" ca="1" si="21"/>
        <v>134.80000000000001</v>
      </c>
      <c r="AC200">
        <v>198</v>
      </c>
      <c r="AD200" s="4">
        <v>0.1911552328218114</v>
      </c>
      <c r="AF200">
        <v>198</v>
      </c>
      <c r="AG200" s="4">
        <v>6.8056706818895559E-3</v>
      </c>
      <c r="AI200">
        <v>198</v>
      </c>
      <c r="AJ200" s="4">
        <v>1.0768359279395253E-2</v>
      </c>
    </row>
    <row r="201" spans="1:36" x14ac:dyDescent="0.35">
      <c r="A201" vm="418">
        <f ca="1"/>
        <v>45580</v>
      </c>
      <c r="B201" vm="419">
        <f ca="1"/>
        <v>131.6</v>
      </c>
      <c r="C201" s="4">
        <f t="shared" ca="1" si="18"/>
        <v>-4.686028825957847E-2</v>
      </c>
      <c r="D201" s="4">
        <f t="shared" ca="1" si="19"/>
        <v>-4.799378403684413E-2</v>
      </c>
      <c r="E201" s="8">
        <f t="shared" ca="1" si="20"/>
        <v>-6.4699999999999989</v>
      </c>
      <c r="F201" s="8" vm="417">
        <f t="shared" ca="1" si="21"/>
        <v>138.07</v>
      </c>
      <c r="AC201">
        <v>199</v>
      </c>
      <c r="AD201" s="4">
        <v>3.4631969865226479E-2</v>
      </c>
      <c r="AF201">
        <v>199</v>
      </c>
      <c r="AG201" s="4">
        <v>6.7191665748417397E-3</v>
      </c>
      <c r="AI201">
        <v>199</v>
      </c>
      <c r="AJ201" s="4">
        <v>6.4721154041145531E-3</v>
      </c>
    </row>
    <row r="202" spans="1:36" x14ac:dyDescent="0.35">
      <c r="A202" vm="420">
        <f ca="1"/>
        <v>45581</v>
      </c>
      <c r="B202" vm="421">
        <f ca="1"/>
        <v>135.72</v>
      </c>
      <c r="C202" s="4">
        <f t="shared" ca="1" si="18"/>
        <v>3.1306990881459003E-2</v>
      </c>
      <c r="D202" s="4">
        <f t="shared" ca="1" si="19"/>
        <v>3.0826921024812545E-2</v>
      </c>
      <c r="E202" s="8">
        <f t="shared" ca="1" si="20"/>
        <v>4.1200000000000045</v>
      </c>
      <c r="F202" s="8" vm="419">
        <f t="shared" ca="1" si="21"/>
        <v>131.6</v>
      </c>
      <c r="AC202">
        <v>200</v>
      </c>
      <c r="AD202" s="4">
        <v>6.3282037454362741E-2</v>
      </c>
      <c r="AF202">
        <v>200</v>
      </c>
      <c r="AG202" s="4">
        <v>6.684580052757772E-3</v>
      </c>
      <c r="AI202">
        <v>200</v>
      </c>
      <c r="AJ202" s="4">
        <v>8.0266624211404076E-3</v>
      </c>
    </row>
    <row r="203" spans="1:36" x14ac:dyDescent="0.35">
      <c r="A203" vm="422">
        <f ca="1"/>
        <v>45582</v>
      </c>
      <c r="B203" vm="423">
        <f ca="1"/>
        <v>136.93</v>
      </c>
      <c r="C203" s="4">
        <f t="shared" ca="1" si="18"/>
        <v>8.9154140878279393E-3</v>
      </c>
      <c r="D203" s="4">
        <f t="shared" ca="1" si="19"/>
        <v>8.8759064281130479E-3</v>
      </c>
      <c r="E203" s="8">
        <f t="shared" ca="1" si="20"/>
        <v>1.210000000000008</v>
      </c>
      <c r="F203" s="8" vm="421">
        <f t="shared" ca="1" si="21"/>
        <v>135.72</v>
      </c>
      <c r="AC203">
        <v>201</v>
      </c>
      <c r="AD203" s="4">
        <v>2.6776764709484358E-2</v>
      </c>
      <c r="AF203">
        <v>201</v>
      </c>
      <c r="AG203" s="4">
        <v>6.7100271212569233E-3</v>
      </c>
      <c r="AI203">
        <v>201</v>
      </c>
      <c r="AJ203" s="4">
        <v>7.8490187582467355E-3</v>
      </c>
    </row>
    <row r="204" spans="1:36" x14ac:dyDescent="0.35">
      <c r="A204" vm="424">
        <f ca="1"/>
        <v>45583</v>
      </c>
      <c r="B204" vm="425">
        <f ca="1"/>
        <v>138</v>
      </c>
      <c r="C204" s="4">
        <f t="shared" ca="1" si="18"/>
        <v>7.8142116409843938E-3</v>
      </c>
      <c r="D204" s="4">
        <f t="shared" ca="1" si="19"/>
        <v>7.7838388130624554E-3</v>
      </c>
      <c r="E204" s="8">
        <f t="shared" ca="1" si="20"/>
        <v>1.0699999999999932</v>
      </c>
      <c r="F204" s="8" vm="423">
        <f t="shared" ca="1" si="21"/>
        <v>136.93</v>
      </c>
      <c r="AC204">
        <v>202</v>
      </c>
      <c r="AD204" s="4">
        <v>5.9064450246606739E-2</v>
      </c>
      <c r="AF204">
        <v>202</v>
      </c>
      <c r="AG204" s="4">
        <v>6.8388654262518918E-3</v>
      </c>
      <c r="AI204">
        <v>202</v>
      </c>
      <c r="AJ204" s="4">
        <v>9.7296636755811062E-3</v>
      </c>
    </row>
    <row r="205" spans="1:36" x14ac:dyDescent="0.35">
      <c r="A205" vm="426">
        <f ca="1"/>
        <v>45586</v>
      </c>
      <c r="B205" vm="427">
        <f ca="1"/>
        <v>143.71</v>
      </c>
      <c r="C205" s="4">
        <f t="shared" ca="1" si="18"/>
        <v>4.1376811594202957E-2</v>
      </c>
      <c r="D205" s="4">
        <f t="shared" ca="1" si="19"/>
        <v>4.0543694928950949E-2</v>
      </c>
      <c r="E205" s="8">
        <f t="shared" ca="1" si="20"/>
        <v>5.710000000000008</v>
      </c>
      <c r="F205" s="8" vm="425">
        <f t="shared" ca="1" si="21"/>
        <v>138</v>
      </c>
      <c r="AC205">
        <v>203</v>
      </c>
      <c r="AD205" s="4">
        <v>3.1105746537978863E-2</v>
      </c>
      <c r="AF205">
        <v>203</v>
      </c>
      <c r="AG205" s="4">
        <v>6.808956647976528E-3</v>
      </c>
      <c r="AI205">
        <v>203</v>
      </c>
      <c r="AJ205" s="4">
        <v>6.2820921166495689E-3</v>
      </c>
    </row>
    <row r="206" spans="1:36" x14ac:dyDescent="0.35">
      <c r="A206" vm="428">
        <f ca="1"/>
        <v>45587</v>
      </c>
      <c r="B206" vm="429">
        <f ca="1"/>
        <v>143.59</v>
      </c>
      <c r="C206" s="4">
        <f t="shared" ca="1" si="18"/>
        <v>-8.3501496068474391E-4</v>
      </c>
      <c r="D206" s="4">
        <f t="shared" ca="1" si="19"/>
        <v>-8.3536377987001502E-4</v>
      </c>
      <c r="E206" s="8">
        <f t="shared" ca="1" si="20"/>
        <v>-0.12000000000000455</v>
      </c>
      <c r="F206" s="8" vm="427">
        <f t="shared" ca="1" si="21"/>
        <v>143.71</v>
      </c>
      <c r="AC206">
        <v>204</v>
      </c>
      <c r="AD206" s="4">
        <v>2.0094151146261639E-2</v>
      </c>
      <c r="AF206">
        <v>204</v>
      </c>
      <c r="AG206" s="4">
        <v>6.6664692833033534E-3</v>
      </c>
      <c r="AI206">
        <v>204</v>
      </c>
      <c r="AJ206" s="4">
        <v>9.3541841296852623E-3</v>
      </c>
    </row>
    <row r="207" spans="1:36" x14ac:dyDescent="0.35">
      <c r="A207" vm="430">
        <f ca="1"/>
        <v>45588</v>
      </c>
      <c r="B207" vm="431">
        <f ca="1"/>
        <v>139.56</v>
      </c>
      <c r="C207" s="4">
        <f t="shared" ca="1" si="18"/>
        <v>-2.8066021310676238E-2</v>
      </c>
      <c r="D207" s="4">
        <f t="shared" ca="1" si="19"/>
        <v>-2.8467399987712163E-2</v>
      </c>
      <c r="E207" s="8">
        <f t="shared" ca="1" si="20"/>
        <v>-4.0300000000000011</v>
      </c>
      <c r="F207" s="8" vm="429">
        <f t="shared" ca="1" si="21"/>
        <v>143.59</v>
      </c>
      <c r="AC207">
        <v>205</v>
      </c>
      <c r="AD207" s="4">
        <v>5.2163745712340212E-2</v>
      </c>
      <c r="AF207">
        <v>205</v>
      </c>
      <c r="AG207" s="4">
        <v>6.8488195082933362E-3</v>
      </c>
      <c r="AI207">
        <v>205</v>
      </c>
      <c r="AJ207" s="4">
        <v>6.5709774882920895E-3</v>
      </c>
    </row>
    <row r="208" spans="1:36" x14ac:dyDescent="0.35">
      <c r="A208" vm="432">
        <f ca="1"/>
        <v>45589</v>
      </c>
      <c r="B208" vm="433">
        <f ca="1"/>
        <v>140.41</v>
      </c>
      <c r="C208" s="4">
        <f t="shared" ca="1" si="18"/>
        <v>6.0905703640011053E-3</v>
      </c>
      <c r="D208" s="4">
        <f t="shared" ca="1" si="19"/>
        <v>6.0720978079774222E-3</v>
      </c>
      <c r="E208" s="8">
        <f t="shared" ca="1" si="20"/>
        <v>0.84999999999999432</v>
      </c>
      <c r="F208" s="8" vm="431">
        <f t="shared" ca="1" si="21"/>
        <v>139.56</v>
      </c>
      <c r="AC208">
        <v>206</v>
      </c>
      <c r="AD208" s="4">
        <v>4.4566738200185911E-2</v>
      </c>
      <c r="AF208">
        <v>206</v>
      </c>
      <c r="AG208" s="4">
        <v>6.8455768258494261E-3</v>
      </c>
      <c r="AI208">
        <v>206</v>
      </c>
      <c r="AJ208" s="4">
        <v>6.1104559573848137E-3</v>
      </c>
    </row>
    <row r="209" spans="1:36" x14ac:dyDescent="0.35">
      <c r="A209" vm="434">
        <f ca="1"/>
        <v>45590</v>
      </c>
      <c r="B209" vm="435">
        <f ca="1"/>
        <v>141.54</v>
      </c>
      <c r="C209" s="4">
        <f t="shared" ca="1" si="18"/>
        <v>8.0478598390427702E-3</v>
      </c>
      <c r="D209" s="4">
        <f t="shared" ca="1" si="19"/>
        <v>8.0156485210877634E-3</v>
      </c>
      <c r="E209" s="8">
        <f t="shared" ca="1" si="20"/>
        <v>1.1299999999999955</v>
      </c>
      <c r="F209" s="8" vm="433">
        <f t="shared" ca="1" si="21"/>
        <v>140.41</v>
      </c>
      <c r="AC209">
        <v>207</v>
      </c>
      <c r="AD209" s="4">
        <v>8.9882831137555991E-2</v>
      </c>
      <c r="AF209">
        <v>207</v>
      </c>
      <c r="AG209" s="4">
        <v>6.7530878158304471E-3</v>
      </c>
      <c r="AI209">
        <v>207</v>
      </c>
      <c r="AJ209" s="4">
        <v>8.4246913499047178E-3</v>
      </c>
    </row>
    <row r="210" spans="1:36" x14ac:dyDescent="0.35">
      <c r="A210" vm="436">
        <f ca="1"/>
        <v>45593</v>
      </c>
      <c r="B210" vm="437">
        <f ca="1"/>
        <v>140.52000000000001</v>
      </c>
      <c r="C210" s="4">
        <f t="shared" ca="1" si="18"/>
        <v>-7.2064434082236952E-3</v>
      </c>
      <c r="D210" s="4">
        <f t="shared" ca="1" si="19"/>
        <v>-7.2325352500122939E-3</v>
      </c>
      <c r="E210" s="8">
        <f t="shared" ca="1" si="20"/>
        <v>-1.0199999999999818</v>
      </c>
      <c r="F210" s="8" vm="435">
        <f t="shared" ca="1" si="21"/>
        <v>141.54</v>
      </c>
      <c r="AC210">
        <v>208</v>
      </c>
      <c r="AD210" s="4">
        <v>6.5004013212169309E-2</v>
      </c>
      <c r="AF210">
        <v>208</v>
      </c>
      <c r="AG210" s="4">
        <v>6.7846029742566821E-3</v>
      </c>
      <c r="AI210">
        <v>208</v>
      </c>
      <c r="AJ210" s="4">
        <v>7.3704553251227652E-3</v>
      </c>
    </row>
    <row r="211" spans="1:36" x14ac:dyDescent="0.35">
      <c r="A211" vm="438">
        <f ca="1"/>
        <v>45594</v>
      </c>
      <c r="B211" vm="439">
        <f ca="1"/>
        <v>141.25</v>
      </c>
      <c r="C211" s="4">
        <f t="shared" ca="1" si="18"/>
        <v>5.1949900370053355E-3</v>
      </c>
      <c r="D211" s="4">
        <f t="shared" ca="1" si="19"/>
        <v>5.1815426289240412E-3</v>
      </c>
      <c r="E211" s="8">
        <f t="shared" ca="1" si="20"/>
        <v>0.72999999999998977</v>
      </c>
      <c r="F211" s="8" vm="437">
        <f t="shared" ca="1" si="21"/>
        <v>140.52000000000001</v>
      </c>
      <c r="AC211">
        <v>209</v>
      </c>
      <c r="AD211" s="4">
        <v>0.13807651211337976</v>
      </c>
      <c r="AF211">
        <v>209</v>
      </c>
      <c r="AG211" s="4">
        <v>6.7526456800657475E-3</v>
      </c>
      <c r="AI211">
        <v>209</v>
      </c>
      <c r="AJ211" s="4">
        <v>7.3744406854665432E-3</v>
      </c>
    </row>
    <row r="212" spans="1:36" x14ac:dyDescent="0.35">
      <c r="A212" vm="440">
        <f ca="1"/>
        <v>45595</v>
      </c>
      <c r="B212" vm="441">
        <f ca="1"/>
        <v>139.33500000000001</v>
      </c>
      <c r="C212" s="4">
        <f t="shared" ca="1" si="18"/>
        <v>-1.3557522123893748E-2</v>
      </c>
      <c r="D212" s="4">
        <f t="shared" ca="1" si="19"/>
        <v>-1.3650264518956406E-2</v>
      </c>
      <c r="E212" s="8">
        <f t="shared" ca="1" si="20"/>
        <v>-1.914999999999992</v>
      </c>
      <c r="F212" s="8" vm="439">
        <f t="shared" ca="1" si="21"/>
        <v>141.25</v>
      </c>
      <c r="AC212">
        <v>210</v>
      </c>
      <c r="AD212" s="4">
        <v>6.2810088714706849E-2</v>
      </c>
      <c r="AF212">
        <v>210</v>
      </c>
      <c r="AG212" s="4">
        <v>6.7767890045322375E-3</v>
      </c>
      <c r="AI212">
        <v>210</v>
      </c>
      <c r="AJ212" s="4">
        <v>7.248764218976053E-3</v>
      </c>
    </row>
    <row r="213" spans="1:36" x14ac:dyDescent="0.35">
      <c r="A213" vm="442">
        <f ca="1"/>
        <v>45596</v>
      </c>
      <c r="B213" vm="443">
        <f ca="1"/>
        <v>132.76</v>
      </c>
      <c r="C213" s="4">
        <f t="shared" ca="1" si="18"/>
        <v>-4.718843076039772E-2</v>
      </c>
      <c r="D213" s="4">
        <f t="shared" ca="1" si="19"/>
        <v>-4.8338118655820057E-2</v>
      </c>
      <c r="E213" s="8">
        <f t="shared" ca="1" si="20"/>
        <v>-6.5750000000000171</v>
      </c>
      <c r="F213" s="8" vm="441">
        <f t="shared" ca="1" si="21"/>
        <v>139.33500000000001</v>
      </c>
      <c r="AC213">
        <v>211</v>
      </c>
      <c r="AD213" s="4">
        <v>0.12465900780439121</v>
      </c>
      <c r="AF213">
        <v>211</v>
      </c>
      <c r="AG213" s="4">
        <v>6.8402927457108902E-3</v>
      </c>
      <c r="AI213">
        <v>211</v>
      </c>
      <c r="AJ213" s="4">
        <v>6.7014148346126049E-3</v>
      </c>
    </row>
    <row r="214" spans="1:36" x14ac:dyDescent="0.35">
      <c r="A214" vm="444">
        <f ca="1"/>
        <v>45597</v>
      </c>
      <c r="B214" vm="445">
        <f ca="1"/>
        <v>135.4</v>
      </c>
      <c r="C214" s="4">
        <f t="shared" ca="1" si="18"/>
        <v>1.9885507683037172E-2</v>
      </c>
      <c r="D214" s="4">
        <f t="shared" ca="1" si="19"/>
        <v>1.9690373626400793E-2</v>
      </c>
      <c r="E214" s="8">
        <f t="shared" ca="1" si="20"/>
        <v>2.6400000000000148</v>
      </c>
      <c r="F214" s="8" vm="443">
        <f t="shared" ca="1" si="21"/>
        <v>132.76</v>
      </c>
      <c r="AC214">
        <v>212</v>
      </c>
      <c r="AD214" s="4">
        <v>0.10922194428967817</v>
      </c>
      <c r="AF214">
        <v>212</v>
      </c>
      <c r="AG214" s="4">
        <v>6.8039448298587287E-3</v>
      </c>
      <c r="AI214">
        <v>212</v>
      </c>
      <c r="AJ214" s="4">
        <v>6.5505104808892987E-3</v>
      </c>
    </row>
    <row r="215" spans="1:36" x14ac:dyDescent="0.35">
      <c r="A215" vm="446">
        <f ca="1"/>
        <v>45600</v>
      </c>
      <c r="B215" vm="447">
        <f ca="1"/>
        <v>136.05000000000001</v>
      </c>
      <c r="C215" s="4">
        <f t="shared" ca="1" si="18"/>
        <v>4.8005908419498202E-3</v>
      </c>
      <c r="D215" s="4">
        <f t="shared" ca="1" si="19"/>
        <v>4.7891047510806297E-3</v>
      </c>
      <c r="E215" s="8">
        <f t="shared" ca="1" si="20"/>
        <v>0.65000000000000568</v>
      </c>
      <c r="F215" s="8" vm="445">
        <f t="shared" ca="1" si="21"/>
        <v>135.4</v>
      </c>
      <c r="AC215">
        <v>213</v>
      </c>
      <c r="AD215" s="4">
        <v>0.23258538202067633</v>
      </c>
      <c r="AF215">
        <v>213</v>
      </c>
      <c r="AG215" s="4">
        <v>6.7504116852687571E-3</v>
      </c>
      <c r="AI215">
        <v>213</v>
      </c>
      <c r="AJ215" s="4">
        <v>7.7308081062082232E-3</v>
      </c>
    </row>
    <row r="216" spans="1:36" x14ac:dyDescent="0.35">
      <c r="A216" vm="448">
        <f ca="1"/>
        <v>45601</v>
      </c>
      <c r="B216" vm="449">
        <f ca="1"/>
        <v>139.91</v>
      </c>
      <c r="C216" s="4">
        <f t="shared" ca="1" si="18"/>
        <v>2.8371922087467732E-2</v>
      </c>
      <c r="D216" s="4">
        <f t="shared" ca="1" si="19"/>
        <v>2.7976893515939023E-2</v>
      </c>
      <c r="E216" s="8">
        <f t="shared" ca="1" si="20"/>
        <v>3.8599999999999852</v>
      </c>
      <c r="F216" s="8" vm="447">
        <f t="shared" ca="1" si="21"/>
        <v>136.05000000000001</v>
      </c>
      <c r="AC216">
        <v>214</v>
      </c>
      <c r="AD216" s="4">
        <v>5.7323039004190189E-2</v>
      </c>
      <c r="AF216">
        <v>214</v>
      </c>
      <c r="AG216" s="4">
        <v>6.7471938162868336E-3</v>
      </c>
      <c r="AI216">
        <v>214</v>
      </c>
      <c r="AJ216" s="4">
        <v>6.0789406015587166E-3</v>
      </c>
    </row>
    <row r="217" spans="1:36" x14ac:dyDescent="0.35">
      <c r="A217" vm="450">
        <f ca="1"/>
        <v>45602</v>
      </c>
      <c r="B217" vm="451">
        <f ca="1"/>
        <v>145.61000000000001</v>
      </c>
      <c r="C217" s="4">
        <f t="shared" ca="1" si="18"/>
        <v>4.0740476020298885E-2</v>
      </c>
      <c r="D217" s="4">
        <f t="shared" ca="1" si="19"/>
        <v>3.993245597761879E-2</v>
      </c>
      <c r="E217" s="8">
        <f t="shared" ca="1" si="20"/>
        <v>5.7000000000000171</v>
      </c>
      <c r="F217" s="8" vm="449">
        <f t="shared" ca="1" si="21"/>
        <v>139.91</v>
      </c>
      <c r="AC217">
        <v>215</v>
      </c>
      <c r="AD217" s="4">
        <v>3.4329704325569463E-2</v>
      </c>
      <c r="AF217">
        <v>215</v>
      </c>
      <c r="AG217" s="4">
        <v>6.739657450810687E-3</v>
      </c>
      <c r="AI217">
        <v>215</v>
      </c>
      <c r="AJ217" s="4">
        <v>6.7452595435339539E-3</v>
      </c>
    </row>
    <row r="218" spans="1:36" x14ac:dyDescent="0.35">
      <c r="A218" vm="452">
        <f ca="1"/>
        <v>45603</v>
      </c>
      <c r="B218" vm="453">
        <f ca="1"/>
        <v>148.88</v>
      </c>
      <c r="C218" s="4">
        <f t="shared" ca="1" si="18"/>
        <v>2.2457248815328491E-2</v>
      </c>
      <c r="D218" s="4">
        <f t="shared" ca="1" si="19"/>
        <v>2.2208797611182083E-2</v>
      </c>
      <c r="E218" s="8">
        <f t="shared" ca="1" si="20"/>
        <v>3.2699999999999818</v>
      </c>
      <c r="F218" s="8" vm="451">
        <f t="shared" ca="1" si="21"/>
        <v>145.61000000000001</v>
      </c>
      <c r="AC218">
        <v>216</v>
      </c>
      <c r="AD218" s="4">
        <v>3.6424617246594078E-2</v>
      </c>
      <c r="AF218">
        <v>216</v>
      </c>
      <c r="AG218" s="4">
        <v>6.8552515042637485E-3</v>
      </c>
      <c r="AI218">
        <v>216</v>
      </c>
      <c r="AJ218" s="4">
        <v>6.3103800092021928E-3</v>
      </c>
    </row>
    <row r="219" spans="1:36" x14ac:dyDescent="0.35">
      <c r="A219" vm="454">
        <f ca="1"/>
        <v>45604</v>
      </c>
      <c r="B219" vm="455">
        <f ca="1"/>
        <v>147.63</v>
      </c>
      <c r="C219" s="4">
        <f t="shared" ca="1" si="18"/>
        <v>-8.3960236432025787E-3</v>
      </c>
      <c r="D219" s="4">
        <f t="shared" ca="1" si="19"/>
        <v>-8.4314687879987818E-3</v>
      </c>
      <c r="E219" s="8">
        <f t="shared" ca="1" si="20"/>
        <v>-1.25</v>
      </c>
      <c r="F219" s="8" vm="453">
        <f t="shared" ca="1" si="21"/>
        <v>148.88</v>
      </c>
      <c r="AC219">
        <v>217</v>
      </c>
      <c r="AD219" s="4">
        <v>4.9224402869370507E-2</v>
      </c>
      <c r="AF219">
        <v>217</v>
      </c>
      <c r="AG219" s="4">
        <v>6.7717628206872141E-3</v>
      </c>
      <c r="AI219">
        <v>217</v>
      </c>
      <c r="AJ219" s="4">
        <v>7.8302392252352949E-3</v>
      </c>
    </row>
    <row r="220" spans="1:36" x14ac:dyDescent="0.35">
      <c r="A220" vm="456">
        <f ca="1"/>
        <v>45607</v>
      </c>
      <c r="B220" vm="457">
        <f ca="1"/>
        <v>145.26</v>
      </c>
      <c r="C220" s="4">
        <f t="shared" ca="1" si="18"/>
        <v>-1.6053647632595033E-2</v>
      </c>
      <c r="D220" s="4">
        <f t="shared" ca="1" si="19"/>
        <v>-1.618390336797439E-2</v>
      </c>
      <c r="E220" s="8">
        <f t="shared" ca="1" si="20"/>
        <v>-2.3700000000000045</v>
      </c>
      <c r="F220" s="8" vm="455">
        <f t="shared" ca="1" si="21"/>
        <v>147.63</v>
      </c>
      <c r="AC220">
        <v>218</v>
      </c>
      <c r="AD220" s="4">
        <v>4.9312702012875728E-2</v>
      </c>
      <c r="AF220">
        <v>218</v>
      </c>
      <c r="AG220" s="4">
        <v>6.7286448001343032E-3</v>
      </c>
      <c r="AI220">
        <v>218</v>
      </c>
      <c r="AJ220" s="4">
        <v>6.9957548323622528E-3</v>
      </c>
    </row>
    <row r="221" spans="1:36" x14ac:dyDescent="0.35">
      <c r="A221" vm="458">
        <f ca="1"/>
        <v>45608</v>
      </c>
      <c r="B221" vm="459">
        <f ca="1"/>
        <v>148.29</v>
      </c>
      <c r="C221" s="4">
        <f t="shared" ca="1" si="18"/>
        <v>2.0859149111937224E-2</v>
      </c>
      <c r="D221" s="4">
        <f t="shared" ca="1" si="19"/>
        <v>2.0644575808955484E-2</v>
      </c>
      <c r="E221" s="8">
        <f t="shared" ca="1" si="20"/>
        <v>3.0300000000000011</v>
      </c>
      <c r="F221" s="8" vm="457">
        <f t="shared" ca="1" si="21"/>
        <v>145.26</v>
      </c>
      <c r="AC221">
        <v>219</v>
      </c>
      <c r="AD221" s="4">
        <v>9.5297809699320599E-2</v>
      </c>
      <c r="AF221">
        <v>219</v>
      </c>
      <c r="AG221" s="4">
        <v>6.7320360592106228E-3</v>
      </c>
      <c r="AI221">
        <v>219</v>
      </c>
      <c r="AJ221" s="4">
        <v>6.5919428425405798E-3</v>
      </c>
    </row>
    <row r="222" spans="1:36" x14ac:dyDescent="0.35">
      <c r="A222" vm="460">
        <f ca="1"/>
        <v>45609</v>
      </c>
      <c r="B222" vm="461">
        <f ca="1"/>
        <v>146.27000000000001</v>
      </c>
      <c r="C222" s="4">
        <f t="shared" ca="1" si="18"/>
        <v>-1.3621956976195171E-2</v>
      </c>
      <c r="D222" s="4">
        <f t="shared" ca="1" si="19"/>
        <v>-1.3715587087980549E-2</v>
      </c>
      <c r="E222" s="8">
        <f t="shared" ca="1" si="20"/>
        <v>-2.0199999999999818</v>
      </c>
      <c r="F222" s="8" vm="459">
        <f t="shared" ca="1" si="21"/>
        <v>148.29</v>
      </c>
      <c r="AC222">
        <v>220</v>
      </c>
      <c r="AD222" s="4">
        <v>9.1070101772022252E-2</v>
      </c>
      <c r="AF222">
        <v>220</v>
      </c>
      <c r="AG222" s="4">
        <v>6.8412545729980151E-3</v>
      </c>
      <c r="AI222">
        <v>220</v>
      </c>
      <c r="AJ222" s="4">
        <v>6.067697656855703E-3</v>
      </c>
    </row>
    <row r="223" spans="1:36" x14ac:dyDescent="0.35">
      <c r="A223" vm="462">
        <f ca="1"/>
        <v>45610</v>
      </c>
      <c r="B223" vm="463">
        <f ca="1"/>
        <v>146.76</v>
      </c>
      <c r="C223" s="4">
        <f t="shared" ca="1" si="18"/>
        <v>3.349969234976281E-3</v>
      </c>
      <c r="D223" s="4">
        <f t="shared" ca="1" si="19"/>
        <v>3.3443705880842637E-3</v>
      </c>
      <c r="E223" s="8">
        <f t="shared" ca="1" si="20"/>
        <v>0.48999999999998067</v>
      </c>
      <c r="F223" s="8" vm="461">
        <f t="shared" ca="1" si="21"/>
        <v>146.27000000000001</v>
      </c>
      <c r="AC223">
        <v>221</v>
      </c>
      <c r="AD223" s="4">
        <v>3.8102452261549999E-2</v>
      </c>
      <c r="AF223">
        <v>221</v>
      </c>
      <c r="AG223" s="4">
        <v>6.6733385729020878E-3</v>
      </c>
      <c r="AI223">
        <v>221</v>
      </c>
      <c r="AJ223" s="4">
        <v>7.7325935895926129E-3</v>
      </c>
    </row>
    <row r="224" spans="1:36" x14ac:dyDescent="0.35">
      <c r="A224" vm="464">
        <f ca="1"/>
        <v>45611</v>
      </c>
      <c r="B224" vm="465">
        <f ca="1"/>
        <v>141.97999999999999</v>
      </c>
      <c r="C224" s="4">
        <f t="shared" ca="1" si="18"/>
        <v>-3.2570182611065694E-2</v>
      </c>
      <c r="D224" s="4">
        <f t="shared" ca="1" si="19"/>
        <v>-3.3112396875841478E-2</v>
      </c>
      <c r="E224" s="8">
        <f t="shared" ca="1" si="20"/>
        <v>-4.7800000000000011</v>
      </c>
      <c r="F224" s="8" vm="463">
        <f t="shared" ca="1" si="21"/>
        <v>146.76</v>
      </c>
      <c r="AC224">
        <v>222</v>
      </c>
      <c r="AD224" s="4">
        <v>6.8783921231908574E-2</v>
      </c>
      <c r="AF224">
        <v>222</v>
      </c>
      <c r="AG224" s="4">
        <v>6.7517159747655679E-3</v>
      </c>
      <c r="AI224">
        <v>222</v>
      </c>
      <c r="AJ224" s="4">
        <v>8.4314461404318246E-3</v>
      </c>
    </row>
    <row r="225" spans="1:36" x14ac:dyDescent="0.35">
      <c r="A225" vm="466">
        <f ca="1"/>
        <v>45614</v>
      </c>
      <c r="B225" vm="467">
        <f ca="1"/>
        <v>140.15</v>
      </c>
      <c r="C225" s="4">
        <f t="shared" ca="1" si="18"/>
        <v>-1.2889139315396423E-2</v>
      </c>
      <c r="D225" s="4">
        <f t="shared" ca="1" si="19"/>
        <v>-1.2972925000442384E-2</v>
      </c>
      <c r="E225" s="8">
        <f t="shared" ca="1" si="20"/>
        <v>-1.8299999999999841</v>
      </c>
      <c r="F225" s="8" vm="465">
        <f t="shared" ca="1" si="21"/>
        <v>141.97999999999999</v>
      </c>
      <c r="AC225">
        <v>223</v>
      </c>
      <c r="AD225" s="4">
        <v>7.8237489295412299E-2</v>
      </c>
      <c r="AF225">
        <v>223</v>
      </c>
      <c r="AG225" s="4">
        <v>6.7053842822792946E-3</v>
      </c>
      <c r="AI225">
        <v>223</v>
      </c>
      <c r="AJ225" s="4">
        <v>7.1596719809980894E-3</v>
      </c>
    </row>
    <row r="226" spans="1:36" x14ac:dyDescent="0.35">
      <c r="A226" vm="468">
        <f ca="1"/>
        <v>45615</v>
      </c>
      <c r="B226" vm="469">
        <f ca="1"/>
        <v>147.01</v>
      </c>
      <c r="C226" s="4">
        <f t="shared" ca="1" si="18"/>
        <v>4.8947556189796536E-2</v>
      </c>
      <c r="D226" s="4">
        <f t="shared" ca="1" si="19"/>
        <v>4.7787334065077465E-2</v>
      </c>
      <c r="E226" s="8">
        <f t="shared" ca="1" si="20"/>
        <v>6.8599999999999852</v>
      </c>
      <c r="F226" s="8" vm="467">
        <f t="shared" ca="1" si="21"/>
        <v>140.15</v>
      </c>
      <c r="AC226">
        <v>224</v>
      </c>
      <c r="AD226" s="4">
        <v>4.2215534494334142E-2</v>
      </c>
      <c r="AF226">
        <v>224</v>
      </c>
      <c r="AG226" s="4">
        <v>6.7486575965459063E-3</v>
      </c>
      <c r="AI226">
        <v>224</v>
      </c>
      <c r="AJ226" s="4">
        <v>7.8416580516039343E-3</v>
      </c>
    </row>
    <row r="227" spans="1:36" x14ac:dyDescent="0.35">
      <c r="A227" vm="470">
        <f ca="1"/>
        <v>45616</v>
      </c>
      <c r="B227" vm="471">
        <f ca="1"/>
        <v>145.88999999999999</v>
      </c>
      <c r="C227" s="4">
        <f t="shared" ca="1" si="18"/>
        <v>-7.618529351744811E-3</v>
      </c>
      <c r="D227" s="4">
        <f t="shared" ca="1" si="19"/>
        <v>-7.6476985920707645E-3</v>
      </c>
      <c r="E227" s="8">
        <f t="shared" ca="1" si="20"/>
        <v>-1.1200000000000045</v>
      </c>
      <c r="F227" s="8" vm="469">
        <f t="shared" ca="1" si="21"/>
        <v>147.01</v>
      </c>
      <c r="AC227">
        <v>225</v>
      </c>
      <c r="AD227" s="4">
        <v>6.3559098015747467E-2</v>
      </c>
      <c r="AF227">
        <v>225</v>
      </c>
      <c r="AG227" s="4">
        <v>6.7210318988728032E-3</v>
      </c>
      <c r="AI227">
        <v>225</v>
      </c>
      <c r="AJ227" s="4">
        <v>6.4098828167585865E-3</v>
      </c>
    </row>
    <row r="228" spans="1:36" x14ac:dyDescent="0.35">
      <c r="A228" vm="472">
        <f ca="1"/>
        <v>45617</v>
      </c>
      <c r="B228" vm="473">
        <f ca="1"/>
        <v>146.66999999999999</v>
      </c>
      <c r="C228" s="4">
        <f t="shared" ca="1" si="18"/>
        <v>5.346493933785737E-3</v>
      </c>
      <c r="D228" s="4">
        <f t="shared" ca="1" si="19"/>
        <v>5.3322521748597551E-3</v>
      </c>
      <c r="E228" s="8">
        <f t="shared" ca="1" si="20"/>
        <v>0.78000000000000114</v>
      </c>
      <c r="F228" s="8" vm="471">
        <f t="shared" ca="1" si="21"/>
        <v>145.88999999999999</v>
      </c>
      <c r="AC228">
        <v>226</v>
      </c>
      <c r="AD228" s="4">
        <v>3.0843835931822348E-2</v>
      </c>
      <c r="AF228">
        <v>226</v>
      </c>
      <c r="AG228" s="4">
        <v>6.8408254089892652E-3</v>
      </c>
      <c r="AI228">
        <v>226</v>
      </c>
      <c r="AJ228" s="4">
        <v>9.0006163872234559E-3</v>
      </c>
    </row>
    <row r="229" spans="1:36" x14ac:dyDescent="0.35">
      <c r="A229" vm="474">
        <f ca="1"/>
        <v>45618</v>
      </c>
      <c r="B229" vm="475">
        <f ca="1"/>
        <v>141.94999999999999</v>
      </c>
      <c r="C229" s="4">
        <f t="shared" ca="1" si="18"/>
        <v>-3.2181086793481958E-2</v>
      </c>
      <c r="D229" s="4">
        <f t="shared" ca="1" si="19"/>
        <v>-3.2710282339683691E-2</v>
      </c>
      <c r="E229" s="8">
        <f t="shared" ca="1" si="20"/>
        <v>-4.7199999999999989</v>
      </c>
      <c r="F229" s="8" vm="473">
        <f t="shared" ca="1" si="21"/>
        <v>146.66999999999999</v>
      </c>
      <c r="AC229">
        <v>227</v>
      </c>
      <c r="AD229" s="4">
        <v>0.13009650702592868</v>
      </c>
      <c r="AF229">
        <v>227</v>
      </c>
      <c r="AG229" s="4">
        <v>6.7275236665756003E-3</v>
      </c>
      <c r="AI229">
        <v>227</v>
      </c>
      <c r="AJ229" s="4">
        <v>7.8969213564676136E-3</v>
      </c>
    </row>
    <row r="230" spans="1:36" x14ac:dyDescent="0.35">
      <c r="A230" vm="476">
        <f ca="1"/>
        <v>45621</v>
      </c>
      <c r="B230" vm="477">
        <f ca="1"/>
        <v>136.02000000000001</v>
      </c>
      <c r="C230" s="4">
        <f t="shared" ca="1" si="18"/>
        <v>-4.1775272983444724E-2</v>
      </c>
      <c r="D230" s="4">
        <f t="shared" ca="1" si="19"/>
        <v>-4.267294917148743E-2</v>
      </c>
      <c r="E230" s="8">
        <f t="shared" ca="1" si="20"/>
        <v>-5.9299999999999784</v>
      </c>
      <c r="F230" s="8" vm="475">
        <f t="shared" ca="1" si="21"/>
        <v>141.94999999999999</v>
      </c>
      <c r="AC230">
        <v>228</v>
      </c>
      <c r="AD230" s="4">
        <v>1.9242607434879395E-2</v>
      </c>
      <c r="AF230">
        <v>228</v>
      </c>
      <c r="AG230" s="4">
        <v>6.7262185829260746E-3</v>
      </c>
      <c r="AI230">
        <v>228</v>
      </c>
      <c r="AJ230" s="4">
        <v>7.4400399483976641E-3</v>
      </c>
    </row>
    <row r="231" spans="1:36" x14ac:dyDescent="0.35">
      <c r="A231" vm="478">
        <f ca="1"/>
        <v>45622</v>
      </c>
      <c r="B231" vm="479">
        <f ca="1"/>
        <v>136.91999999999999</v>
      </c>
      <c r="C231" s="4">
        <f t="shared" ca="1" si="18"/>
        <v>6.6166740185265192E-3</v>
      </c>
      <c r="D231" s="4">
        <f t="shared" ca="1" si="19"/>
        <v>6.594879914491771E-3</v>
      </c>
      <c r="E231" s="8">
        <f t="shared" ca="1" si="20"/>
        <v>0.89999999999997726</v>
      </c>
      <c r="F231" s="8" vm="477">
        <f t="shared" ca="1" si="21"/>
        <v>136.02000000000001</v>
      </c>
      <c r="AC231">
        <v>229</v>
      </c>
      <c r="AD231" s="4">
        <v>0.11056637925335031</v>
      </c>
      <c r="AF231">
        <v>229</v>
      </c>
      <c r="AG231" s="4">
        <v>6.8674293004752978E-3</v>
      </c>
      <c r="AI231">
        <v>229</v>
      </c>
      <c r="AJ231" s="4">
        <v>7.1884503083144945E-3</v>
      </c>
    </row>
    <row r="232" spans="1:36" x14ac:dyDescent="0.35">
      <c r="A232" vm="480">
        <f ca="1"/>
        <v>45623</v>
      </c>
      <c r="B232" vm="481">
        <f ca="1"/>
        <v>135.34</v>
      </c>
      <c r="C232" s="4">
        <f t="shared" ca="1" si="18"/>
        <v>-1.1539585159216947E-2</v>
      </c>
      <c r="D232" s="4">
        <f t="shared" ca="1" si="19"/>
        <v>-1.1606682857905002E-2</v>
      </c>
      <c r="E232" s="8">
        <f t="shared" ca="1" si="20"/>
        <v>-1.5799999999999841</v>
      </c>
      <c r="F232" s="8" vm="479">
        <f t="shared" ca="1" si="21"/>
        <v>136.91999999999999</v>
      </c>
      <c r="AC232">
        <v>230</v>
      </c>
      <c r="AD232" s="4">
        <v>0.10476917897980764</v>
      </c>
      <c r="AF232">
        <v>230</v>
      </c>
      <c r="AG232" s="4">
        <v>6.8989332654924209E-3</v>
      </c>
      <c r="AI232">
        <v>230</v>
      </c>
      <c r="AJ232" s="4">
        <v>7.8836168539848737E-3</v>
      </c>
    </row>
    <row r="233" spans="1:36" x14ac:dyDescent="0.35">
      <c r="A233" vm="482">
        <f ca="1"/>
        <v>45625</v>
      </c>
      <c r="B233" vm="483">
        <f ca="1"/>
        <v>138.25</v>
      </c>
      <c r="C233" s="4">
        <f t="shared" ca="1" si="18"/>
        <v>2.150140387173043E-2</v>
      </c>
      <c r="D233" s="4">
        <f t="shared" ca="1" si="19"/>
        <v>2.1273509598364767E-2</v>
      </c>
      <c r="E233" s="8">
        <f t="shared" ca="1" si="20"/>
        <v>2.9099999999999966</v>
      </c>
      <c r="F233" s="8" vm="481">
        <f t="shared" ca="1" si="21"/>
        <v>135.34</v>
      </c>
      <c r="AC233">
        <v>231</v>
      </c>
      <c r="AD233" s="4">
        <v>5.4691673274702757E-2</v>
      </c>
      <c r="AF233">
        <v>231</v>
      </c>
      <c r="AG233" s="4">
        <v>6.9579892756418075E-3</v>
      </c>
      <c r="AI233">
        <v>231</v>
      </c>
      <c r="AJ233" s="4">
        <v>6.8671189281111896E-3</v>
      </c>
    </row>
    <row r="234" spans="1:36" x14ac:dyDescent="0.35">
      <c r="A234" vm="484">
        <f ca="1"/>
        <v>45628</v>
      </c>
      <c r="B234" vm="485">
        <f ca="1"/>
        <v>138.63</v>
      </c>
      <c r="C234" s="4">
        <f t="shared" ca="1" si="18"/>
        <v>2.7486437613019562E-3</v>
      </c>
      <c r="D234" s="4">
        <f t="shared" ca="1" si="19"/>
        <v>2.7448731478405524E-3</v>
      </c>
      <c r="E234" s="8">
        <f t="shared" ca="1" si="20"/>
        <v>0.37999999999999545</v>
      </c>
      <c r="F234" s="8" vm="483">
        <f t="shared" ca="1" si="21"/>
        <v>138.25</v>
      </c>
      <c r="AC234">
        <v>232</v>
      </c>
      <c r="AD234" s="4">
        <v>6.6944920643566136E-2</v>
      </c>
      <c r="AF234">
        <v>232</v>
      </c>
      <c r="AG234" s="4">
        <v>6.7195278790445987E-3</v>
      </c>
      <c r="AI234">
        <v>232</v>
      </c>
      <c r="AJ234" s="4">
        <v>6.248174208352982E-3</v>
      </c>
    </row>
    <row r="235" spans="1:36" x14ac:dyDescent="0.35">
      <c r="A235" vm="486">
        <f ca="1"/>
        <v>45629</v>
      </c>
      <c r="B235" vm="487">
        <f ca="1"/>
        <v>140.26</v>
      </c>
      <c r="C235" s="4">
        <f t="shared" ca="1" si="18"/>
        <v>1.1757916756834708E-2</v>
      </c>
      <c r="D235" s="4">
        <f t="shared" ca="1" si="19"/>
        <v>1.1689329558479629E-2</v>
      </c>
      <c r="E235" s="8">
        <f t="shared" ca="1" si="20"/>
        <v>1.6299999999999955</v>
      </c>
      <c r="F235" s="8" vm="485">
        <f t="shared" ca="1" si="21"/>
        <v>138.63</v>
      </c>
      <c r="AC235">
        <v>233</v>
      </c>
      <c r="AD235" s="4">
        <v>0.1049437666346255</v>
      </c>
      <c r="AF235">
        <v>233</v>
      </c>
      <c r="AG235" s="4">
        <v>6.8769689691183054E-3</v>
      </c>
      <c r="AI235">
        <v>233</v>
      </c>
      <c r="AJ235" s="4">
        <v>7.7364767535138372E-3</v>
      </c>
    </row>
    <row r="236" spans="1:36" x14ac:dyDescent="0.35">
      <c r="A236" vm="488">
        <f ca="1"/>
        <v>45630</v>
      </c>
      <c r="B236" vm="489">
        <f ca="1"/>
        <v>145.13999999999999</v>
      </c>
      <c r="C236" s="4">
        <f t="shared" ca="1" si="18"/>
        <v>3.4792528161984852E-2</v>
      </c>
      <c r="D236" s="4">
        <f t="shared" ca="1" si="19"/>
        <v>3.4200950741226366E-2</v>
      </c>
      <c r="E236" s="8">
        <f t="shared" ca="1" si="20"/>
        <v>4.8799999999999955</v>
      </c>
      <c r="F236" s="8" vm="487">
        <f t="shared" ca="1" si="21"/>
        <v>140.26</v>
      </c>
      <c r="AC236">
        <v>234</v>
      </c>
      <c r="AD236" s="4">
        <v>7.2195580380653962E-2</v>
      </c>
      <c r="AF236">
        <v>234</v>
      </c>
      <c r="AG236" s="4">
        <v>6.775996485471703E-3</v>
      </c>
      <c r="AI236">
        <v>234</v>
      </c>
      <c r="AJ236" s="4">
        <v>6.4558802834852541E-3</v>
      </c>
    </row>
    <row r="237" spans="1:36" x14ac:dyDescent="0.35">
      <c r="A237" vm="490">
        <f ca="1"/>
        <v>45631</v>
      </c>
      <c r="B237" vm="491">
        <f ca="1"/>
        <v>145.06</v>
      </c>
      <c r="C237" s="4">
        <f t="shared" ca="1" si="18"/>
        <v>-5.5119195259738251E-4</v>
      </c>
      <c r="D237" s="4">
        <f t="shared" ca="1" si="19"/>
        <v>-5.5134391472441149E-4</v>
      </c>
      <c r="E237" s="8">
        <f t="shared" ca="1" si="20"/>
        <v>-7.9999999999984084E-2</v>
      </c>
      <c r="F237" s="8" vm="489">
        <f t="shared" ca="1" si="21"/>
        <v>145.13999999999999</v>
      </c>
      <c r="AC237">
        <v>235</v>
      </c>
      <c r="AD237" s="4">
        <v>0.12511398491233547</v>
      </c>
      <c r="AF237">
        <v>235</v>
      </c>
      <c r="AG237" s="4">
        <v>6.7761895996409638E-3</v>
      </c>
      <c r="AI237">
        <v>235</v>
      </c>
      <c r="AJ237" s="4">
        <v>5.3526880776310539E-3</v>
      </c>
    </row>
    <row r="238" spans="1:36" x14ac:dyDescent="0.35">
      <c r="A238" vm="492">
        <f ca="1"/>
        <v>45632</v>
      </c>
      <c r="B238" vm="493">
        <f ca="1"/>
        <v>142.44</v>
      </c>
      <c r="C238" s="4">
        <f t="shared" ca="1" si="18"/>
        <v>-1.8061491796498033E-2</v>
      </c>
      <c r="D238" s="4">
        <f t="shared" ca="1" si="19"/>
        <v>-1.8226591525689419E-2</v>
      </c>
      <c r="E238" s="8">
        <f t="shared" ca="1" si="20"/>
        <v>-2.6200000000000045</v>
      </c>
      <c r="F238" s="8" vm="491">
        <f t="shared" ca="1" si="21"/>
        <v>145.06</v>
      </c>
      <c r="AC238">
        <v>236</v>
      </c>
      <c r="AD238" s="4">
        <v>0.12181989143944835</v>
      </c>
      <c r="AF238">
        <v>236</v>
      </c>
      <c r="AG238" s="4">
        <v>6.7633892705937981E-3</v>
      </c>
      <c r="AI238">
        <v>236</v>
      </c>
      <c r="AJ238" s="4">
        <v>6.926682737898913E-3</v>
      </c>
    </row>
    <row r="239" spans="1:36" x14ac:dyDescent="0.35">
      <c r="A239" vm="494">
        <f ca="1"/>
        <v>45635</v>
      </c>
      <c r="B239" vm="495">
        <f ca="1"/>
        <v>138.81</v>
      </c>
      <c r="C239" s="4">
        <f t="shared" ca="1" si="18"/>
        <v>-2.5484414490311677E-2</v>
      </c>
      <c r="D239" s="4">
        <f t="shared" ca="1" si="19"/>
        <v>-2.5814766822559045E-2</v>
      </c>
      <c r="E239" s="8">
        <f t="shared" ca="1" si="20"/>
        <v>-3.6299999999999955</v>
      </c>
      <c r="F239" s="8" vm="493">
        <f t="shared" ca="1" si="21"/>
        <v>142.44</v>
      </c>
      <c r="AC239">
        <v>237</v>
      </c>
      <c r="AD239" s="4">
        <v>2.0624407948959811E-2</v>
      </c>
      <c r="AF239">
        <v>237</v>
      </c>
      <c r="AG239" s="4">
        <v>6.7615519792969389E-3</v>
      </c>
      <c r="AI239">
        <v>237</v>
      </c>
      <c r="AJ239" s="4">
        <v>7.6502301277639245E-3</v>
      </c>
    </row>
    <row r="240" spans="1:36" x14ac:dyDescent="0.35">
      <c r="A240" vm="496">
        <f ca="1"/>
        <v>45636</v>
      </c>
      <c r="B240" vm="497">
        <f ca="1"/>
        <v>135.07</v>
      </c>
      <c r="C240" s="4">
        <f t="shared" ca="1" si="18"/>
        <v>-2.694330379655651E-2</v>
      </c>
      <c r="D240" s="4">
        <f t="shared" ca="1" si="19"/>
        <v>-2.731292901434523E-2</v>
      </c>
      <c r="E240" s="8">
        <f t="shared" ca="1" si="20"/>
        <v>-3.7400000000000091</v>
      </c>
      <c r="F240" s="8" vm="495">
        <f t="shared" ca="1" si="21"/>
        <v>138.81</v>
      </c>
      <c r="AC240">
        <v>238</v>
      </c>
      <c r="AD240" s="4">
        <v>0.11387552844309712</v>
      </c>
      <c r="AF240">
        <v>238</v>
      </c>
      <c r="AG240" s="4">
        <v>6.7562575005784605E-3</v>
      </c>
      <c r="AI240">
        <v>238</v>
      </c>
      <c r="AJ240" s="4">
        <v>7.1395906474614884E-3</v>
      </c>
    </row>
    <row r="241" spans="1:36" x14ac:dyDescent="0.35">
      <c r="A241" vm="498">
        <f ca="1"/>
        <v>45637</v>
      </c>
      <c r="B241" vm="499">
        <f ca="1"/>
        <v>139.31</v>
      </c>
      <c r="C241" s="4">
        <f t="shared" ca="1" si="18"/>
        <v>3.1391130524913075E-2</v>
      </c>
      <c r="D241" s="4">
        <f t="shared" ca="1" si="19"/>
        <v>3.0908503145460821E-2</v>
      </c>
      <c r="E241" s="8">
        <f t="shared" ca="1" si="20"/>
        <v>4.2400000000000091</v>
      </c>
      <c r="F241" s="8" vm="497">
        <f t="shared" ca="1" si="21"/>
        <v>135.07</v>
      </c>
      <c r="AC241">
        <v>239</v>
      </c>
      <c r="AD241" s="4">
        <v>3.8686765928684627E-2</v>
      </c>
      <c r="AF241">
        <v>239</v>
      </c>
      <c r="AG241" s="4">
        <v>6.7999053039749981E-3</v>
      </c>
      <c r="AI241">
        <v>239</v>
      </c>
      <c r="AJ241" s="4">
        <v>8.1302680820657738E-3</v>
      </c>
    </row>
    <row r="242" spans="1:36" x14ac:dyDescent="0.35">
      <c r="A242" vm="500">
        <f ca="1"/>
        <v>45638</v>
      </c>
      <c r="B242" vm="501">
        <f ca="1"/>
        <v>137.34</v>
      </c>
      <c r="C242" s="4">
        <f t="shared" ca="1" si="18"/>
        <v>-1.4141124111693337E-2</v>
      </c>
      <c r="D242" s="4">
        <f t="shared" ca="1" si="19"/>
        <v>-1.4242062525603194E-2</v>
      </c>
      <c r="E242" s="8">
        <f t="shared" ca="1" si="20"/>
        <v>-1.9699999999999989</v>
      </c>
      <c r="F242" s="8" vm="499">
        <f t="shared" ca="1" si="21"/>
        <v>139.31</v>
      </c>
      <c r="AC242">
        <v>240</v>
      </c>
      <c r="AD242" s="4">
        <v>9.5622821855091453E-2</v>
      </c>
      <c r="AF242">
        <v>240</v>
      </c>
      <c r="AG242" s="4">
        <v>6.820428023600539E-3</v>
      </c>
      <c r="AI242">
        <v>240</v>
      </c>
      <c r="AJ242" s="4">
        <v>7.6314595951296341E-3</v>
      </c>
    </row>
    <row r="243" spans="1:36" x14ac:dyDescent="0.35">
      <c r="A243" vm="502">
        <f ca="1"/>
        <v>45639</v>
      </c>
      <c r="B243" vm="503">
        <f ca="1"/>
        <v>134.25</v>
      </c>
      <c r="C243" s="4">
        <f t="shared" ca="1" si="18"/>
        <v>-2.2498907820008761E-2</v>
      </c>
      <c r="D243" s="4">
        <f t="shared" ca="1" si="19"/>
        <v>-2.2755869803556265E-2</v>
      </c>
      <c r="E243" s="8">
        <f t="shared" ca="1" si="20"/>
        <v>-3.0900000000000034</v>
      </c>
      <c r="F243" s="8" vm="501">
        <f t="shared" ca="1" si="21"/>
        <v>137.34</v>
      </c>
      <c r="AC243">
        <v>241</v>
      </c>
      <c r="AD243" s="4">
        <v>4.3214903717810858E-2</v>
      </c>
      <c r="AF243">
        <v>241</v>
      </c>
      <c r="AG243" s="4">
        <v>6.800924180978881E-3</v>
      </c>
      <c r="AI243">
        <v>241</v>
      </c>
      <c r="AJ243" s="4">
        <v>7.7450877024630794E-3</v>
      </c>
    </row>
    <row r="244" spans="1:36" x14ac:dyDescent="0.35">
      <c r="A244" vm="504">
        <f ca="1"/>
        <v>45642</v>
      </c>
      <c r="B244" vm="505">
        <f ca="1"/>
        <v>132</v>
      </c>
      <c r="C244" s="4">
        <f t="shared" ca="1" si="18"/>
        <v>-1.6759776536312849E-2</v>
      </c>
      <c r="D244" s="4">
        <f t="shared" ca="1" si="19"/>
        <v>-1.6901810802603254E-2</v>
      </c>
      <c r="E244" s="8">
        <f t="shared" ca="1" si="20"/>
        <v>-2.25</v>
      </c>
      <c r="F244" s="8" vm="503">
        <f t="shared" ca="1" si="21"/>
        <v>134.25</v>
      </c>
      <c r="AC244">
        <v>242</v>
      </c>
      <c r="AD244" s="4">
        <v>1.4898466394830412E-2</v>
      </c>
      <c r="AF244">
        <v>242</v>
      </c>
      <c r="AG244" s="4">
        <v>6.6118426005090762E-3</v>
      </c>
      <c r="AI244">
        <v>242</v>
      </c>
      <c r="AJ244" s="4">
        <v>6.555433540811356E-3</v>
      </c>
    </row>
    <row r="245" spans="1:36" x14ac:dyDescent="0.35">
      <c r="A245" vm="506">
        <f ca="1"/>
        <v>45643</v>
      </c>
      <c r="B245" vm="507">
        <f ca="1"/>
        <v>130.38999999999999</v>
      </c>
      <c r="C245" s="4">
        <f t="shared" ca="1" si="18"/>
        <v>-1.21969696969698E-2</v>
      </c>
      <c r="D245" s="4">
        <f t="shared" ca="1" si="19"/>
        <v>-1.2271963150990077E-2</v>
      </c>
      <c r="E245" s="8">
        <f t="shared" ca="1" si="20"/>
        <v>-1.6100000000000136</v>
      </c>
      <c r="F245" s="8" vm="505">
        <f t="shared" ca="1" si="21"/>
        <v>132</v>
      </c>
      <c r="AC245">
        <v>243</v>
      </c>
      <c r="AD245" s="4">
        <v>5.0957432538072812E-2</v>
      </c>
      <c r="AF245">
        <v>243</v>
      </c>
      <c r="AG245" s="4">
        <v>6.7519977636088854E-3</v>
      </c>
      <c r="AI245">
        <v>243</v>
      </c>
      <c r="AJ245" s="4">
        <v>5.8038691508200289E-3</v>
      </c>
    </row>
    <row r="246" spans="1:36" x14ac:dyDescent="0.35">
      <c r="A246" vm="508">
        <f ca="1"/>
        <v>45644</v>
      </c>
      <c r="B246" vm="509">
        <f ca="1"/>
        <v>128.91</v>
      </c>
      <c r="C246" s="4">
        <f t="shared" ca="1" si="18"/>
        <v>-1.1350563693534703E-2</v>
      </c>
      <c r="D246" s="4">
        <f t="shared" ca="1" si="19"/>
        <v>-1.1415472980367396E-2</v>
      </c>
      <c r="E246" s="8">
        <f t="shared" ca="1" si="20"/>
        <v>-1.4799999999999898</v>
      </c>
      <c r="F246" s="8" vm="507">
        <f t="shared" ca="1" si="21"/>
        <v>130.38999999999999</v>
      </c>
      <c r="AC246">
        <v>244</v>
      </c>
      <c r="AD246" s="4">
        <v>2.6004054740422618E-2</v>
      </c>
      <c r="AF246">
        <v>244</v>
      </c>
      <c r="AG246" s="4">
        <v>6.822761367679178E-3</v>
      </c>
      <c r="AI246">
        <v>244</v>
      </c>
      <c r="AJ246" s="4">
        <v>6.7136386406461308E-3</v>
      </c>
    </row>
    <row r="247" spans="1:36" x14ac:dyDescent="0.35">
      <c r="A247" vm="510">
        <f ca="1"/>
        <v>45645</v>
      </c>
      <c r="B247" vm="511">
        <f ca="1"/>
        <v>130.68</v>
      </c>
      <c r="C247" s="4">
        <f t="shared" ca="1" si="18"/>
        <v>1.373050965790094E-2</v>
      </c>
      <c r="D247" s="4">
        <f t="shared" ca="1" si="19"/>
        <v>1.3637100277856131E-2</v>
      </c>
      <c r="E247" s="8">
        <f t="shared" ca="1" si="20"/>
        <v>1.7700000000000102</v>
      </c>
      <c r="F247" s="8" vm="509">
        <f t="shared" ca="1" si="21"/>
        <v>128.91</v>
      </c>
      <c r="AC247">
        <v>245</v>
      </c>
      <c r="AD247" s="4">
        <v>5.1517684318097237E-2</v>
      </c>
      <c r="AF247">
        <v>245</v>
      </c>
      <c r="AG247" s="4">
        <v>6.7412230051826913E-3</v>
      </c>
      <c r="AI247">
        <v>245</v>
      </c>
      <c r="AJ247" s="4">
        <v>6.1925554093654363E-3</v>
      </c>
    </row>
    <row r="248" spans="1:36" x14ac:dyDescent="0.35">
      <c r="A248" vm="512">
        <f ca="1"/>
        <v>45646</v>
      </c>
      <c r="B248" vm="513">
        <f ca="1"/>
        <v>134.69999999999999</v>
      </c>
      <c r="C248" s="4">
        <f t="shared" ca="1" si="18"/>
        <v>3.076216712580335E-2</v>
      </c>
      <c r="D248" s="4">
        <f t="shared" ca="1" si="19"/>
        <v>3.0298496683448778E-2</v>
      </c>
      <c r="E248" s="8">
        <f t="shared" ca="1" si="20"/>
        <v>4.0199999999999818</v>
      </c>
      <c r="F248" s="8" vm="511">
        <f t="shared" ca="1" si="21"/>
        <v>130.68</v>
      </c>
      <c r="AC248">
        <v>246</v>
      </c>
      <c r="AD248" s="4">
        <v>3.5506209946060005E-2</v>
      </c>
      <c r="AF248">
        <v>246</v>
      </c>
      <c r="AG248" s="4">
        <v>6.6993745850374717E-3</v>
      </c>
      <c r="AI248">
        <v>246</v>
      </c>
      <c r="AJ248" s="4">
        <v>7.4789577876433503E-3</v>
      </c>
    </row>
    <row r="249" spans="1:36" x14ac:dyDescent="0.35">
      <c r="A249" vm="514">
        <f ca="1"/>
        <v>45649</v>
      </c>
      <c r="B249" vm="515">
        <f ca="1"/>
        <v>139.66999999999999</v>
      </c>
      <c r="C249" s="4">
        <f t="shared" ca="1" si="18"/>
        <v>3.6896807720861166E-2</v>
      </c>
      <c r="D249" s="4">
        <f t="shared" ca="1" si="19"/>
        <v>3.6232413901361615E-2</v>
      </c>
      <c r="E249" s="8">
        <f t="shared" ca="1" si="20"/>
        <v>4.9699999999999989</v>
      </c>
      <c r="F249" s="8" vm="513">
        <f t="shared" ca="1" si="21"/>
        <v>134.69999999999999</v>
      </c>
      <c r="AC249">
        <v>247</v>
      </c>
      <c r="AD249" s="4">
        <v>4.841183731586203E-2</v>
      </c>
      <c r="AF249">
        <v>247</v>
      </c>
      <c r="AG249" s="4">
        <v>6.5973166368891228E-3</v>
      </c>
      <c r="AI249">
        <v>247</v>
      </c>
      <c r="AJ249" s="4">
        <v>7.1669276982338388E-3</v>
      </c>
    </row>
    <row r="250" spans="1:36" x14ac:dyDescent="0.35">
      <c r="A250" vm="516">
        <f ca="1"/>
        <v>45650</v>
      </c>
      <c r="B250" vm="517">
        <f ca="1"/>
        <v>140.22</v>
      </c>
      <c r="C250" s="4">
        <f t="shared" ca="1" si="18"/>
        <v>3.9378535118494411E-3</v>
      </c>
      <c r="D250" s="4">
        <f t="shared" ca="1" si="19"/>
        <v>3.9301204611417624E-3</v>
      </c>
      <c r="E250" s="8">
        <f t="shared" ca="1" si="20"/>
        <v>0.55000000000001137</v>
      </c>
      <c r="F250" s="8" vm="515">
        <f t="shared" ca="1" si="21"/>
        <v>139.66999999999999</v>
      </c>
      <c r="AC250">
        <v>248</v>
      </c>
      <c r="AD250" s="4">
        <v>5.240321809571933E-2</v>
      </c>
      <c r="AF250">
        <v>248</v>
      </c>
      <c r="AG250" s="4">
        <v>6.8542330745344103E-3</v>
      </c>
      <c r="AI250">
        <v>248</v>
      </c>
      <c r="AJ250" s="4">
        <v>6.2879958986501346E-3</v>
      </c>
    </row>
    <row r="251" spans="1:36" x14ac:dyDescent="0.35">
      <c r="A251" vm="518">
        <f ca="1"/>
        <v>45652</v>
      </c>
      <c r="B251" vm="519">
        <f ca="1"/>
        <v>139.93</v>
      </c>
      <c r="C251" s="4">
        <f t="shared" ca="1" si="18"/>
        <v>-2.0681785765225506E-3</v>
      </c>
      <c r="D251" s="4">
        <f t="shared" ca="1" si="19"/>
        <v>-2.070320211199508E-3</v>
      </c>
      <c r="E251" s="8">
        <f t="shared" ca="1" si="20"/>
        <v>-0.28999999999999204</v>
      </c>
      <c r="F251" s="8" vm="517">
        <f t="shared" ca="1" si="21"/>
        <v>140.22</v>
      </c>
      <c r="AC251">
        <v>249</v>
      </c>
      <c r="AD251" s="4">
        <v>1.8365237531710401E-2</v>
      </c>
      <c r="AF251">
        <v>249</v>
      </c>
      <c r="AG251" s="4">
        <v>6.7555916754084532E-3</v>
      </c>
      <c r="AI251">
        <v>249</v>
      </c>
      <c r="AJ251" s="4">
        <v>9.7286920577365141E-3</v>
      </c>
    </row>
    <row r="252" spans="1:36" x14ac:dyDescent="0.35">
      <c r="A252" vm="520">
        <f ca="1"/>
        <v>45653</v>
      </c>
      <c r="B252" vm="521">
        <f ca="1"/>
        <v>137.01</v>
      </c>
      <c r="C252" s="4">
        <f t="shared" ca="1" si="18"/>
        <v>-2.0867576645465704E-2</v>
      </c>
      <c r="D252" s="4">
        <f t="shared" ca="1" si="19"/>
        <v>-2.1088381702604804E-2</v>
      </c>
      <c r="E252" s="8">
        <f t="shared" ca="1" si="20"/>
        <v>-2.9200000000000159</v>
      </c>
      <c r="F252" s="8" vm="519">
        <f t="shared" ca="1" si="21"/>
        <v>139.93</v>
      </c>
      <c r="AC252">
        <v>250</v>
      </c>
      <c r="AD252" s="4">
        <v>7.4389232223236637E-2</v>
      </c>
      <c r="AF252">
        <v>250</v>
      </c>
      <c r="AG252" s="4">
        <v>6.815274964867093E-3</v>
      </c>
      <c r="AI252">
        <v>250</v>
      </c>
      <c r="AJ252" s="4">
        <v>8.1195873146181329E-3</v>
      </c>
    </row>
    <row r="253" spans="1:36" x14ac:dyDescent="0.35">
      <c r="A253" vm="522">
        <f ca="1"/>
        <v>45656</v>
      </c>
      <c r="B253" vm="523">
        <f ca="1"/>
        <v>137.49</v>
      </c>
      <c r="C253" s="4">
        <f t="shared" ca="1" si="18"/>
        <v>3.5033939128532093E-3</v>
      </c>
      <c r="D253" s="4">
        <f t="shared" ca="1" si="19"/>
        <v>3.4972713241252736E-3</v>
      </c>
      <c r="E253" s="8">
        <f t="shared" ca="1" si="20"/>
        <v>0.48000000000001819</v>
      </c>
      <c r="F253" s="8" vm="521">
        <f t="shared" ca="1" si="21"/>
        <v>137.01</v>
      </c>
      <c r="AC253">
        <v>251</v>
      </c>
      <c r="AD253" s="4">
        <v>3.7238598011660344E-2</v>
      </c>
      <c r="AF253">
        <v>251</v>
      </c>
      <c r="AG253" s="4">
        <v>6.7546105286170463E-3</v>
      </c>
      <c r="AI253">
        <v>251</v>
      </c>
      <c r="AJ253" s="4">
        <v>7.8244912539084926E-3</v>
      </c>
    </row>
    <row r="254" spans="1:36" x14ac:dyDescent="0.35">
      <c r="A254" vm="524">
        <f ca="1"/>
        <v>45657</v>
      </c>
      <c r="B254" vm="525">
        <f ca="1"/>
        <v>134.29</v>
      </c>
      <c r="C254" s="4">
        <f t="shared" ca="1" si="18"/>
        <v>-2.3274419957815238E-2</v>
      </c>
      <c r="D254" s="4">
        <f t="shared" ca="1" si="19"/>
        <v>-2.3549546596058561E-2</v>
      </c>
      <c r="E254" s="8">
        <f t="shared" ca="1" si="20"/>
        <v>-3.2000000000000171</v>
      </c>
      <c r="F254" s="8" vm="523">
        <f t="shared" ca="1" si="21"/>
        <v>137.49</v>
      </c>
      <c r="AC254">
        <v>252</v>
      </c>
      <c r="AD254" s="4">
        <v>3.3969002740856936E-2</v>
      </c>
      <c r="AF254">
        <v>252</v>
      </c>
      <c r="AG254" s="4">
        <v>6.8308306699113577E-3</v>
      </c>
      <c r="AI254">
        <v>252</v>
      </c>
      <c r="AJ254" s="4">
        <v>6.8795605034981892E-3</v>
      </c>
    </row>
    <row r="255" spans="1:36" x14ac:dyDescent="0.35">
      <c r="A255" vm="526">
        <f ca="1"/>
        <v>45659</v>
      </c>
      <c r="B255" vm="527">
        <f ca="1"/>
        <v>138.31</v>
      </c>
      <c r="C255" s="4">
        <f t="shared" ca="1" si="18"/>
        <v>2.9935214833569219E-2</v>
      </c>
      <c r="D255" s="4">
        <f t="shared" ca="1" si="19"/>
        <v>2.9495902043532696E-2</v>
      </c>
      <c r="E255" s="8">
        <f t="shared" ca="1" si="20"/>
        <v>4.0200000000000102</v>
      </c>
      <c r="F255" s="8" vm="525">
        <f t="shared" ca="1" si="21"/>
        <v>134.29</v>
      </c>
      <c r="AC255">
        <v>253</v>
      </c>
      <c r="AD255" s="4">
        <v>7.4672555337954249E-2</v>
      </c>
      <c r="AF255">
        <v>253</v>
      </c>
      <c r="AG255" s="4">
        <v>6.7627570579877946E-3</v>
      </c>
      <c r="AI255">
        <v>253</v>
      </c>
      <c r="AJ255" s="4">
        <v>6.6624738559518696E-3</v>
      </c>
    </row>
    <row r="256" spans="1:36" x14ac:dyDescent="0.35">
      <c r="A256" vm="528">
        <f ca="1"/>
        <v>45660</v>
      </c>
      <c r="B256" vm="529">
        <f ca="1"/>
        <v>144.47</v>
      </c>
      <c r="C256" s="4">
        <f t="shared" ca="1" si="18"/>
        <v>4.4537632853734341E-2</v>
      </c>
      <c r="D256" s="4">
        <f t="shared" ca="1" si="19"/>
        <v>4.3574330904673421E-2</v>
      </c>
      <c r="E256" s="8">
        <f t="shared" ca="1" si="20"/>
        <v>6.1599999999999966</v>
      </c>
      <c r="F256" s="8" vm="527">
        <f t="shared" ca="1" si="21"/>
        <v>138.31</v>
      </c>
      <c r="AC256">
        <v>254</v>
      </c>
      <c r="AD256" s="4">
        <v>3.6013868741412131E-2</v>
      </c>
      <c r="AF256">
        <v>254</v>
      </c>
      <c r="AG256" s="4">
        <v>6.7402006775428265E-3</v>
      </c>
      <c r="AI256">
        <v>254</v>
      </c>
      <c r="AJ256" s="4">
        <v>7.0582637456760751E-3</v>
      </c>
    </row>
    <row r="257" spans="1:36" x14ac:dyDescent="0.35">
      <c r="A257" vm="530">
        <f ca="1"/>
        <v>45663</v>
      </c>
      <c r="B257" vm="531">
        <f ca="1"/>
        <v>149.43</v>
      </c>
      <c r="C257" s="4">
        <f t="shared" ca="1" si="18"/>
        <v>3.4332387346854072E-2</v>
      </c>
      <c r="D257" s="4">
        <f t="shared" ca="1" si="19"/>
        <v>3.3756182212011883E-2</v>
      </c>
      <c r="E257" s="8">
        <f t="shared" ca="1" si="20"/>
        <v>4.960000000000008</v>
      </c>
      <c r="F257" s="8" vm="529">
        <f t="shared" ca="1" si="21"/>
        <v>144.47</v>
      </c>
      <c r="AC257">
        <v>255</v>
      </c>
      <c r="AD257" s="4">
        <v>5.0040571349492302E-2</v>
      </c>
      <c r="AF257">
        <v>255</v>
      </c>
      <c r="AG257" s="4">
        <v>6.7540140264029354E-3</v>
      </c>
      <c r="AI257">
        <v>255</v>
      </c>
      <c r="AJ257" s="4">
        <v>6.7325533725008822E-3</v>
      </c>
    </row>
    <row r="258" spans="1:36" x14ac:dyDescent="0.35">
      <c r="A258" vm="532">
        <f ca="1"/>
        <v>45664</v>
      </c>
      <c r="B258" vm="533">
        <f ca="1"/>
        <v>140.13999999999999</v>
      </c>
      <c r="C258" s="4">
        <f t="shared" ca="1" si="18"/>
        <v>-6.2169577728702539E-2</v>
      </c>
      <c r="D258" s="4">
        <f t="shared" ca="1" si="19"/>
        <v>-6.4186132810914065E-2</v>
      </c>
      <c r="E258" s="8">
        <f t="shared" ca="1" si="20"/>
        <v>-9.2900000000000205</v>
      </c>
      <c r="F258" s="8" vm="531">
        <f t="shared" ca="1" si="21"/>
        <v>149.43</v>
      </c>
      <c r="AC258">
        <v>256</v>
      </c>
      <c r="AD258" s="4">
        <v>0.11973356655208287</v>
      </c>
      <c r="AF258">
        <v>256</v>
      </c>
      <c r="AG258" s="4">
        <v>6.8171961789846606E-3</v>
      </c>
      <c r="AI258">
        <v>256</v>
      </c>
      <c r="AJ258" s="4">
        <v>8.3898093646881441E-3</v>
      </c>
    </row>
    <row r="259" spans="1:36" x14ac:dyDescent="0.35">
      <c r="A259" vm="534">
        <f ca="1"/>
        <v>45665</v>
      </c>
      <c r="B259" vm="535">
        <f ca="1"/>
        <v>140.11000000000001</v>
      </c>
      <c r="C259" s="4">
        <f t="shared" ca="1" si="18"/>
        <v>-2.1407164264287653E-4</v>
      </c>
      <c r="D259" s="4">
        <f t="shared" ca="1" si="19"/>
        <v>-2.140945592475461E-4</v>
      </c>
      <c r="E259" s="8">
        <f t="shared" ca="1" si="20"/>
        <v>-2.9999999999972715E-2</v>
      </c>
      <c r="F259" s="8" vm="533">
        <f t="shared" ca="1" si="21"/>
        <v>140.13999999999999</v>
      </c>
      <c r="AC259">
        <v>257</v>
      </c>
      <c r="AD259" s="4">
        <v>7.1191113109663709E-2</v>
      </c>
      <c r="AF259">
        <v>257</v>
      </c>
      <c r="AG259" s="4">
        <v>6.7804161055625674E-3</v>
      </c>
      <c r="AI259">
        <v>257</v>
      </c>
      <c r="AJ259" s="4">
        <v>6.8319013947725823E-3</v>
      </c>
    </row>
    <row r="260" spans="1:36" x14ac:dyDescent="0.35">
      <c r="A260" vm="536">
        <f ca="1"/>
        <v>45667</v>
      </c>
      <c r="B260" vm="537">
        <f ca="1"/>
        <v>135.91</v>
      </c>
      <c r="C260" s="4">
        <f t="shared" ca="1" si="18"/>
        <v>-2.997644707729653E-2</v>
      </c>
      <c r="D260" s="4">
        <f t="shared" ca="1" si="19"/>
        <v>-3.0434926415884248E-2</v>
      </c>
      <c r="E260" s="8">
        <f t="shared" ca="1" si="20"/>
        <v>-4.2000000000000171</v>
      </c>
      <c r="F260" s="8" vm="535">
        <f t="shared" ca="1" si="21"/>
        <v>140.11000000000001</v>
      </c>
      <c r="AC260">
        <v>258</v>
      </c>
      <c r="AD260" s="4">
        <v>3.2317707030775779E-2</v>
      </c>
      <c r="AF260">
        <v>258</v>
      </c>
      <c r="AG260" s="4">
        <v>6.8883336892222868E-3</v>
      </c>
      <c r="AI260">
        <v>258</v>
      </c>
      <c r="AJ260" s="4">
        <v>7.3374573140906141E-3</v>
      </c>
    </row>
    <row r="261" spans="1:36" x14ac:dyDescent="0.35">
      <c r="A261" vm="538">
        <f ca="1"/>
        <v>45670</v>
      </c>
      <c r="B261" vm="539">
        <f ca="1"/>
        <v>133.22999999999999</v>
      </c>
      <c r="C261" s="4">
        <f t="shared" ref="C261:C324" ca="1" si="22">IFERROR((B261-B260)/B260,C260)</f>
        <v>-1.9718931645942218E-2</v>
      </c>
      <c r="D261" s="4">
        <f t="shared" ref="D261:D324" ca="1" si="23">IFERROR(LN(B261/B260),D260)</f>
        <v>-1.9915943995135368E-2</v>
      </c>
      <c r="E261" s="8">
        <f t="shared" ref="E261:E324" ca="1" si="24">IFERROR(B261-B260,0)</f>
        <v>-2.6800000000000068</v>
      </c>
      <c r="F261" s="8" vm="537">
        <f t="shared" ref="F261:F324" ca="1" si="25">IFERROR(B260,F260)</f>
        <v>135.91</v>
      </c>
      <c r="AC261">
        <v>259</v>
      </c>
      <c r="AD261" s="4">
        <v>0.10329080798230594</v>
      </c>
      <c r="AF261">
        <v>259</v>
      </c>
      <c r="AG261" s="4">
        <v>6.7330528563024523E-3</v>
      </c>
      <c r="AI261">
        <v>259</v>
      </c>
      <c r="AJ261" s="4">
        <v>7.198629171514332E-3</v>
      </c>
    </row>
    <row r="262" spans="1:36" x14ac:dyDescent="0.35">
      <c r="A262" vm="540">
        <f ca="1"/>
        <v>45671</v>
      </c>
      <c r="B262" vm="541">
        <f ca="1"/>
        <v>131.76</v>
      </c>
      <c r="C262" s="4">
        <f t="shared" ca="1" si="22"/>
        <v>-1.1033551002026564E-2</v>
      </c>
      <c r="D262" s="4">
        <f t="shared" ca="1" si="23"/>
        <v>-1.1094872102735659E-2</v>
      </c>
      <c r="E262" s="8">
        <f t="shared" ca="1" si="24"/>
        <v>-1.4699999999999989</v>
      </c>
      <c r="F262" s="8" vm="539">
        <f t="shared" ca="1" si="25"/>
        <v>133.22999999999999</v>
      </c>
      <c r="AC262">
        <v>260</v>
      </c>
      <c r="AD262" s="4">
        <v>4.7001851338857356E-2</v>
      </c>
      <c r="AF262">
        <v>260</v>
      </c>
      <c r="AG262" s="4">
        <v>6.7438903651092291E-3</v>
      </c>
      <c r="AI262">
        <v>260</v>
      </c>
      <c r="AJ262" s="4">
        <v>6.9689714949100253E-3</v>
      </c>
    </row>
    <row r="263" spans="1:36" x14ac:dyDescent="0.35">
      <c r="A263" vm="542">
        <f ca="1"/>
        <v>45672</v>
      </c>
      <c r="B263" vm="543">
        <f ca="1"/>
        <v>136.24</v>
      </c>
      <c r="C263" s="4">
        <f t="shared" ca="1" si="22"/>
        <v>3.4001214329083325E-2</v>
      </c>
      <c r="D263" s="4">
        <f t="shared" ca="1" si="23"/>
        <v>3.3435950485048091E-2</v>
      </c>
      <c r="E263" s="8">
        <f t="shared" ca="1" si="24"/>
        <v>4.4800000000000182</v>
      </c>
      <c r="F263" s="8" vm="541">
        <f t="shared" ca="1" si="25"/>
        <v>131.76</v>
      </c>
      <c r="AC263">
        <v>261</v>
      </c>
      <c r="AD263" s="4">
        <v>0.11667452513677026</v>
      </c>
      <c r="AF263">
        <v>261</v>
      </c>
      <c r="AG263" s="4">
        <v>6.8145760704740868E-3</v>
      </c>
      <c r="AI263">
        <v>261</v>
      </c>
      <c r="AJ263" s="4">
        <v>5.8621387002032394E-3</v>
      </c>
    </row>
    <row r="264" spans="1:36" x14ac:dyDescent="0.35">
      <c r="A264" vm="544">
        <f ca="1"/>
        <v>45673</v>
      </c>
      <c r="B264" vm="545">
        <f ca="1"/>
        <v>133.57</v>
      </c>
      <c r="C264" s="4">
        <f t="shared" ca="1" si="22"/>
        <v>-1.9597768643570285E-2</v>
      </c>
      <c r="D264" s="4">
        <f t="shared" ca="1" si="23"/>
        <v>-1.9792351365419E-2</v>
      </c>
      <c r="E264" s="8">
        <f t="shared" ca="1" si="24"/>
        <v>-2.6700000000000159</v>
      </c>
      <c r="F264" s="8" vm="543">
        <f t="shared" ca="1" si="25"/>
        <v>136.24</v>
      </c>
      <c r="AC264">
        <v>262</v>
      </c>
      <c r="AD264" s="4">
        <v>3.7957272884304984E-2</v>
      </c>
      <c r="AF264">
        <v>262</v>
      </c>
      <c r="AG264" s="4">
        <v>6.7043837292291401E-3</v>
      </c>
      <c r="AI264">
        <v>262</v>
      </c>
      <c r="AJ264" s="4">
        <v>7.8771929259449924E-3</v>
      </c>
    </row>
    <row r="265" spans="1:36" x14ac:dyDescent="0.35">
      <c r="A265" vm="546">
        <f ca="1"/>
        <v>45674</v>
      </c>
      <c r="B265" vm="547">
        <f ca="1"/>
        <v>137.71</v>
      </c>
      <c r="C265" s="4">
        <f t="shared" ca="1" si="22"/>
        <v>3.0994983903571274E-2</v>
      </c>
      <c r="D265" s="4">
        <f t="shared" ca="1" si="23"/>
        <v>3.0524339750020613E-2</v>
      </c>
      <c r="E265" s="8">
        <f t="shared" ca="1" si="24"/>
        <v>4.1400000000000148</v>
      </c>
      <c r="F265" s="8" vm="545">
        <f t="shared" ca="1" si="25"/>
        <v>133.57</v>
      </c>
      <c r="AC265">
        <v>263</v>
      </c>
      <c r="AD265" s="4">
        <v>4.7547059551276402E-2</v>
      </c>
      <c r="AF265">
        <v>263</v>
      </c>
      <c r="AG265" s="4">
        <v>6.7631639702833753E-3</v>
      </c>
      <c r="AI265">
        <v>263</v>
      </c>
      <c r="AJ265" s="4">
        <v>7.15587846034963E-3</v>
      </c>
    </row>
    <row r="266" spans="1:36" x14ac:dyDescent="0.35">
      <c r="A266" vm="548">
        <f ca="1"/>
        <v>45678</v>
      </c>
      <c r="B266" vm="549">
        <f ca="1"/>
        <v>140.83000000000001</v>
      </c>
      <c r="C266" s="4">
        <f t="shared" ca="1" si="22"/>
        <v>2.2656306731537321E-2</v>
      </c>
      <c r="D266" s="4">
        <f t="shared" ca="1" si="23"/>
        <v>2.2403464470924412E-2</v>
      </c>
      <c r="E266" s="8">
        <f t="shared" ca="1" si="24"/>
        <v>3.1200000000000045</v>
      </c>
      <c r="F266" s="8" vm="547">
        <f t="shared" ca="1" si="25"/>
        <v>137.71</v>
      </c>
      <c r="AC266">
        <v>264</v>
      </c>
      <c r="AD266" s="4">
        <v>3.9799977538594544E-2</v>
      </c>
      <c r="AF266">
        <v>264</v>
      </c>
      <c r="AG266" s="4">
        <v>6.7552290826904367E-3</v>
      </c>
      <c r="AI266">
        <v>264</v>
      </c>
      <c r="AJ266" s="4">
        <v>7.5675826199860302E-3</v>
      </c>
    </row>
    <row r="267" spans="1:36" x14ac:dyDescent="0.35">
      <c r="A267" vm="550">
        <f ca="1"/>
        <v>45679</v>
      </c>
      <c r="B267" vm="551">
        <f ca="1"/>
        <v>147.07</v>
      </c>
      <c r="C267" s="4">
        <f t="shared" ca="1" si="22"/>
        <v>4.4308741035290637E-2</v>
      </c>
      <c r="D267" s="4">
        <f t="shared" ca="1" si="23"/>
        <v>4.3355174702263348E-2</v>
      </c>
      <c r="E267" s="8">
        <f t="shared" ca="1" si="24"/>
        <v>6.2399999999999807</v>
      </c>
      <c r="F267" s="8" vm="549">
        <f t="shared" ca="1" si="25"/>
        <v>140.83000000000001</v>
      </c>
      <c r="AC267">
        <v>265</v>
      </c>
      <c r="AD267" s="4">
        <v>0.10690422395828114</v>
      </c>
      <c r="AF267">
        <v>265</v>
      </c>
      <c r="AG267" s="4">
        <v>6.6597242018790184E-3</v>
      </c>
      <c r="AI267">
        <v>265</v>
      </c>
      <c r="AJ267" s="4">
        <v>7.4582747642742107E-3</v>
      </c>
    </row>
    <row r="268" spans="1:36" x14ac:dyDescent="0.35">
      <c r="A268" vm="552">
        <f ca="1"/>
        <v>45680</v>
      </c>
      <c r="B268" vm="553">
        <f ca="1"/>
        <v>147.22</v>
      </c>
      <c r="C268" s="4">
        <f t="shared" ca="1" si="22"/>
        <v>1.0199224858911109E-3</v>
      </c>
      <c r="D268" s="4">
        <f t="shared" ca="1" si="23"/>
        <v>1.0194027183375537E-3</v>
      </c>
      <c r="E268" s="8">
        <f t="shared" ca="1" si="24"/>
        <v>0.15000000000000568</v>
      </c>
      <c r="F268" s="8" vm="551">
        <f t="shared" ca="1" si="25"/>
        <v>147.07</v>
      </c>
      <c r="AC268">
        <v>266</v>
      </c>
      <c r="AD268" s="4">
        <v>5.4184877323466149E-2</v>
      </c>
      <c r="AF268">
        <v>266</v>
      </c>
      <c r="AG268" s="4">
        <v>6.6548784065358782E-3</v>
      </c>
      <c r="AI268">
        <v>266</v>
      </c>
      <c r="AJ268" s="4">
        <v>6.5629038870413711E-3</v>
      </c>
    </row>
    <row r="269" spans="1:36" x14ac:dyDescent="0.35">
      <c r="A269" vm="554">
        <f ca="1"/>
        <v>45681</v>
      </c>
      <c r="B269" vm="555">
        <f ca="1"/>
        <v>142.62</v>
      </c>
      <c r="C269" s="4">
        <f t="shared" ca="1" si="22"/>
        <v>-3.1245754652900384E-2</v>
      </c>
      <c r="D269" s="4">
        <f t="shared" ca="1" si="23"/>
        <v>-3.1744316030402252E-2</v>
      </c>
      <c r="E269" s="8">
        <f t="shared" ca="1" si="24"/>
        <v>-4.5999999999999943</v>
      </c>
      <c r="F269" s="8" vm="553">
        <f t="shared" ca="1" si="25"/>
        <v>147.22</v>
      </c>
      <c r="AC269">
        <v>267</v>
      </c>
      <c r="AD269" s="4">
        <v>5.1217347671497063E-2</v>
      </c>
      <c r="AF269">
        <v>267</v>
      </c>
      <c r="AG269" s="4">
        <v>6.6934782604971344E-3</v>
      </c>
      <c r="AI269">
        <v>267</v>
      </c>
      <c r="AJ269" s="4">
        <v>1.0656555874518159E-2</v>
      </c>
    </row>
    <row r="270" spans="1:36" x14ac:dyDescent="0.35">
      <c r="A270" vm="556">
        <f ca="1"/>
        <v>45684</v>
      </c>
      <c r="B270" vm="557">
        <f ca="1"/>
        <v>118.42</v>
      </c>
      <c r="C270" s="4">
        <f t="shared" ca="1" si="22"/>
        <v>-0.1696816715748142</v>
      </c>
      <c r="D270" s="4">
        <f t="shared" ca="1" si="23"/>
        <v>-0.18594612349652748</v>
      </c>
      <c r="E270" s="8">
        <f t="shared" ca="1" si="24"/>
        <v>-24.200000000000003</v>
      </c>
      <c r="F270" s="8" vm="555">
        <f t="shared" ca="1" si="25"/>
        <v>142.62</v>
      </c>
      <c r="AC270">
        <v>268</v>
      </c>
      <c r="AD270" s="4">
        <v>3.3307691199824289E-2</v>
      </c>
      <c r="AF270">
        <v>268</v>
      </c>
      <c r="AG270" s="4">
        <v>6.6933046200400139E-3</v>
      </c>
      <c r="AI270">
        <v>268</v>
      </c>
      <c r="AJ270" s="4">
        <v>6.8044830021835945E-3</v>
      </c>
    </row>
    <row r="271" spans="1:36" x14ac:dyDescent="0.35">
      <c r="A271" vm="558">
        <f ca="1"/>
        <v>45685</v>
      </c>
      <c r="B271" vm="559">
        <f ca="1"/>
        <v>128.99</v>
      </c>
      <c r="C271" s="4">
        <f t="shared" ca="1" si="22"/>
        <v>8.9258571187299504E-2</v>
      </c>
      <c r="D271" s="4">
        <f t="shared" ca="1" si="23"/>
        <v>8.5497254873414752E-2</v>
      </c>
      <c r="E271" s="8">
        <f t="shared" ca="1" si="24"/>
        <v>10.570000000000007</v>
      </c>
      <c r="F271" s="8" vm="557">
        <f t="shared" ca="1" si="25"/>
        <v>118.42</v>
      </c>
      <c r="AC271">
        <v>269</v>
      </c>
      <c r="AD271" s="4">
        <v>4.3747703319964852E-2</v>
      </c>
      <c r="AF271">
        <v>269</v>
      </c>
      <c r="AG271" s="4">
        <v>6.8216684171562231E-3</v>
      </c>
      <c r="AI271">
        <v>269</v>
      </c>
      <c r="AJ271" s="4">
        <v>7.960745189424915E-3</v>
      </c>
    </row>
    <row r="272" spans="1:36" x14ac:dyDescent="0.35">
      <c r="A272" vm="560">
        <f ca="1"/>
        <v>45686</v>
      </c>
      <c r="B272" vm="561">
        <f ca="1"/>
        <v>123.7</v>
      </c>
      <c r="C272" s="4">
        <f t="shared" ca="1" si="22"/>
        <v>-4.1010931079928724E-2</v>
      </c>
      <c r="D272" s="4">
        <f t="shared" ca="1" si="23"/>
        <v>-4.1875602578602553E-2</v>
      </c>
      <c r="E272" s="8">
        <f t="shared" ca="1" si="24"/>
        <v>-5.2900000000000063</v>
      </c>
      <c r="F272" s="8" vm="559">
        <f t="shared" ca="1" si="25"/>
        <v>128.99</v>
      </c>
      <c r="AC272">
        <v>270</v>
      </c>
      <c r="AD272" s="4">
        <v>4.927242459014608E-2</v>
      </c>
      <c r="AF272">
        <v>270</v>
      </c>
      <c r="AG272" s="4">
        <v>6.7898075127281847E-3</v>
      </c>
      <c r="AI272">
        <v>270</v>
      </c>
      <c r="AJ272" s="4">
        <v>6.840953797404104E-3</v>
      </c>
    </row>
    <row r="273" spans="1:36" x14ac:dyDescent="0.35">
      <c r="A273" vm="562">
        <f ca="1"/>
        <v>45687</v>
      </c>
      <c r="B273" vm="563">
        <f ca="1"/>
        <v>124.65</v>
      </c>
      <c r="C273" s="4">
        <f t="shared" ca="1" si="22"/>
        <v>7.6798706548100474E-3</v>
      </c>
      <c r="D273" s="4">
        <f t="shared" ca="1" si="23"/>
        <v>7.6505305711246667E-3</v>
      </c>
      <c r="E273" s="8">
        <f t="shared" ca="1" si="24"/>
        <v>0.95000000000000284</v>
      </c>
      <c r="F273" s="8" vm="561">
        <f t="shared" ca="1" si="25"/>
        <v>123.7</v>
      </c>
      <c r="AC273">
        <v>271</v>
      </c>
      <c r="AD273" s="4">
        <v>2.5351344201907322E-2</v>
      </c>
      <c r="AF273">
        <v>271</v>
      </c>
      <c r="AG273" s="4">
        <v>6.7336394102536076E-3</v>
      </c>
      <c r="AI273">
        <v>271</v>
      </c>
      <c r="AJ273" s="4">
        <v>7.5007376930277675E-3</v>
      </c>
    </row>
    <row r="274" spans="1:36" x14ac:dyDescent="0.35">
      <c r="A274" vm="564">
        <f ca="1"/>
        <v>45688</v>
      </c>
      <c r="B274" vm="565">
        <f ca="1"/>
        <v>120.07</v>
      </c>
      <c r="C274" s="4">
        <f t="shared" ca="1" si="22"/>
        <v>-3.6742880064179799E-2</v>
      </c>
      <c r="D274" s="4">
        <f t="shared" ca="1" si="23"/>
        <v>-3.743490392694037E-2</v>
      </c>
      <c r="E274" s="8">
        <f t="shared" ca="1" si="24"/>
        <v>-4.5800000000000125</v>
      </c>
      <c r="F274" s="8" vm="563">
        <f t="shared" ca="1" si="25"/>
        <v>124.65</v>
      </c>
      <c r="AC274">
        <v>272</v>
      </c>
      <c r="AD274" s="4">
        <v>0.10831179170780178</v>
      </c>
      <c r="AF274">
        <v>272</v>
      </c>
      <c r="AG274" s="4">
        <v>6.7914294028360907E-3</v>
      </c>
      <c r="AI274">
        <v>272</v>
      </c>
      <c r="AJ274" s="4">
        <v>8.3170557525955157E-3</v>
      </c>
    </row>
    <row r="275" spans="1:36" x14ac:dyDescent="0.35">
      <c r="A275" vm="566">
        <f ca="1"/>
        <v>45691</v>
      </c>
      <c r="B275" vm="567">
        <f ca="1"/>
        <v>116.66</v>
      </c>
      <c r="C275" s="4">
        <f t="shared" ca="1" si="22"/>
        <v>-2.8400099941700646E-2</v>
      </c>
      <c r="D275" s="4">
        <f t="shared" ca="1" si="23"/>
        <v>-2.8811184717135074E-2</v>
      </c>
      <c r="E275" s="8">
        <f t="shared" ca="1" si="24"/>
        <v>-3.4099999999999966</v>
      </c>
      <c r="F275" s="8" vm="565">
        <f t="shared" ca="1" si="25"/>
        <v>120.07</v>
      </c>
      <c r="AC275">
        <v>273</v>
      </c>
      <c r="AD275" s="4">
        <v>4.5586411909399362E-2</v>
      </c>
      <c r="AF275">
        <v>273</v>
      </c>
      <c r="AG275" s="4">
        <v>6.7485765680818455E-3</v>
      </c>
      <c r="AI275">
        <v>273</v>
      </c>
      <c r="AJ275" s="4">
        <v>8.0084281594863267E-3</v>
      </c>
    </row>
    <row r="276" spans="1:36" x14ac:dyDescent="0.35">
      <c r="A276" vm="568">
        <f ca="1"/>
        <v>45692</v>
      </c>
      <c r="B276" vm="569">
        <f ca="1"/>
        <v>118.65</v>
      </c>
      <c r="C276" s="4">
        <f t="shared" ca="1" si="22"/>
        <v>1.7058117606720463E-2</v>
      </c>
      <c r="D276" s="4">
        <f t="shared" ca="1" si="23"/>
        <v>1.6914261556281014E-2</v>
      </c>
      <c r="E276" s="8">
        <f t="shared" ca="1" si="24"/>
        <v>1.9900000000000091</v>
      </c>
      <c r="F276" s="8" vm="567">
        <f t="shared" ca="1" si="25"/>
        <v>116.66</v>
      </c>
      <c r="AC276">
        <v>274</v>
      </c>
      <c r="AD276" s="4">
        <v>7.1575797867395236E-2</v>
      </c>
      <c r="AF276">
        <v>274</v>
      </c>
      <c r="AG276" s="4">
        <v>6.7933887450492133E-3</v>
      </c>
      <c r="AI276">
        <v>274</v>
      </c>
      <c r="AJ276" s="4">
        <v>7.8406521145942942E-3</v>
      </c>
    </row>
    <row r="277" spans="1:36" x14ac:dyDescent="0.35">
      <c r="A277" vm="570">
        <f ca="1"/>
        <v>45693</v>
      </c>
      <c r="B277" vm="571">
        <f ca="1"/>
        <v>124.83</v>
      </c>
      <c r="C277" s="4">
        <f t="shared" ca="1" si="22"/>
        <v>5.208596713021485E-2</v>
      </c>
      <c r="D277" s="4">
        <f t="shared" ca="1" si="23"/>
        <v>5.0774828781187074E-2</v>
      </c>
      <c r="E277" s="8">
        <f t="shared" ca="1" si="24"/>
        <v>6.1799999999999926</v>
      </c>
      <c r="F277" s="8" vm="569">
        <f t="shared" ca="1" si="25"/>
        <v>118.65</v>
      </c>
      <c r="AC277">
        <v>275</v>
      </c>
      <c r="AD277" s="4">
        <v>8.4808799941837473E-2</v>
      </c>
      <c r="AF277">
        <v>275</v>
      </c>
      <c r="AG277" s="4">
        <v>6.7215591752564311E-3</v>
      </c>
      <c r="AI277">
        <v>275</v>
      </c>
      <c r="AJ277" s="4">
        <v>8.2127995837606455E-3</v>
      </c>
    </row>
    <row r="278" spans="1:36" x14ac:dyDescent="0.35">
      <c r="A278" vm="572">
        <f ca="1"/>
        <v>45694</v>
      </c>
      <c r="B278" vm="573">
        <f ca="1"/>
        <v>128.68</v>
      </c>
      <c r="C278" s="4">
        <f t="shared" ca="1" si="22"/>
        <v>3.0841945045261623E-2</v>
      </c>
      <c r="D278" s="4">
        <f t="shared" ca="1" si="23"/>
        <v>3.0375890707866154E-2</v>
      </c>
      <c r="E278" s="8">
        <f t="shared" ca="1" si="24"/>
        <v>3.8500000000000085</v>
      </c>
      <c r="F278" s="8" vm="571">
        <f t="shared" ca="1" si="25"/>
        <v>124.83</v>
      </c>
      <c r="AC278">
        <v>276</v>
      </c>
      <c r="AD278" s="4">
        <v>2.9137394994851351E-2</v>
      </c>
      <c r="AF278">
        <v>276</v>
      </c>
      <c r="AG278" s="4">
        <v>6.9013585982709066E-3</v>
      </c>
      <c r="AI278">
        <v>276</v>
      </c>
      <c r="AJ278" s="4">
        <v>6.7576199584259665E-3</v>
      </c>
    </row>
    <row r="279" spans="1:36" x14ac:dyDescent="0.35">
      <c r="A279" vm="574">
        <f ca="1"/>
        <v>45695</v>
      </c>
      <c r="B279" vm="575">
        <f ca="1"/>
        <v>129.84</v>
      </c>
      <c r="C279" s="4">
        <f t="shared" ca="1" si="22"/>
        <v>9.0146098849859854E-3</v>
      </c>
      <c r="D279" s="4">
        <f t="shared" ca="1" si="23"/>
        <v>8.974220835510088E-3</v>
      </c>
      <c r="E279" s="8">
        <f t="shared" ca="1" si="24"/>
        <v>1.1599999999999966</v>
      </c>
      <c r="F279" s="8" vm="573">
        <f t="shared" ca="1" si="25"/>
        <v>128.68</v>
      </c>
      <c r="AC279">
        <v>277</v>
      </c>
      <c r="AD279" s="4">
        <v>0.15745897878993509</v>
      </c>
      <c r="AF279">
        <v>277</v>
      </c>
      <c r="AG279" s="4">
        <v>6.8208948616739753E-3</v>
      </c>
      <c r="AI279">
        <v>277</v>
      </c>
      <c r="AJ279" s="4">
        <v>6.7208862609313335E-3</v>
      </c>
    </row>
    <row r="280" spans="1:36" x14ac:dyDescent="0.35">
      <c r="A280" vm="576">
        <f ca="1"/>
        <v>45698</v>
      </c>
      <c r="B280" vm="545">
        <f ca="1"/>
        <v>133.57</v>
      </c>
      <c r="C280" s="4">
        <f t="shared" ca="1" si="22"/>
        <v>2.8727664818237752E-2</v>
      </c>
      <c r="D280" s="4">
        <f t="shared" ca="1" si="23"/>
        <v>2.8322761782678136E-2</v>
      </c>
      <c r="E280" s="8">
        <f t="shared" ca="1" si="24"/>
        <v>3.7299999999999898</v>
      </c>
      <c r="F280" s="8" vm="575">
        <f t="shared" ca="1" si="25"/>
        <v>129.84</v>
      </c>
      <c r="AC280">
        <v>278</v>
      </c>
      <c r="AD280" s="4">
        <v>6.4123795271584558E-2</v>
      </c>
      <c r="AF280">
        <v>278</v>
      </c>
      <c r="AG280" s="4">
        <v>6.7461207749155505E-3</v>
      </c>
      <c r="AI280">
        <v>278</v>
      </c>
      <c r="AJ280" s="4">
        <v>7.3002249200209901E-3</v>
      </c>
    </row>
    <row r="281" spans="1:36" x14ac:dyDescent="0.35">
      <c r="A281" vm="577">
        <f ca="1"/>
        <v>45699</v>
      </c>
      <c r="B281" vm="578">
        <f ca="1"/>
        <v>132.80000000000001</v>
      </c>
      <c r="C281" s="4">
        <f t="shared" ca="1" si="22"/>
        <v>-5.7647675376205874E-3</v>
      </c>
      <c r="D281" s="4">
        <f t="shared" ca="1" si="23"/>
        <v>-5.7814479466803586E-3</v>
      </c>
      <c r="E281" s="8">
        <f t="shared" ca="1" si="24"/>
        <v>-0.76999999999998181</v>
      </c>
      <c r="F281" s="8" vm="545">
        <f t="shared" ca="1" si="25"/>
        <v>133.57</v>
      </c>
      <c r="AC281">
        <v>279</v>
      </c>
      <c r="AD281" s="4">
        <v>7.2123841941369587E-2</v>
      </c>
      <c r="AF281">
        <v>279</v>
      </c>
      <c r="AG281" s="4">
        <v>6.7446925130145051E-3</v>
      </c>
      <c r="AI281">
        <v>279</v>
      </c>
      <c r="AJ281" s="4">
        <v>6.6286879514871342E-3</v>
      </c>
    </row>
    <row r="282" spans="1:36" x14ac:dyDescent="0.35">
      <c r="A282" vm="579">
        <f ca="1"/>
        <v>45700</v>
      </c>
      <c r="B282" vm="580">
        <f ca="1"/>
        <v>131.13999999999999</v>
      </c>
      <c r="C282" s="4">
        <f t="shared" ca="1" si="22"/>
        <v>-1.2500000000000188E-2</v>
      </c>
      <c r="D282" s="4">
        <f t="shared" ca="1" si="23"/>
        <v>-1.2578782206860298E-2</v>
      </c>
      <c r="E282" s="8">
        <f t="shared" ca="1" si="24"/>
        <v>-1.660000000000025</v>
      </c>
      <c r="F282" s="8" vm="578">
        <f t="shared" ca="1" si="25"/>
        <v>132.80000000000001</v>
      </c>
      <c r="AC282">
        <v>280</v>
      </c>
      <c r="AD282" s="4">
        <v>0.16467130512865025</v>
      </c>
      <c r="AF282">
        <v>280</v>
      </c>
      <c r="AG282" s="4">
        <v>6.7204580333688306E-3</v>
      </c>
      <c r="AI282">
        <v>280</v>
      </c>
      <c r="AJ282" s="4">
        <v>5.9749330206958825E-3</v>
      </c>
    </row>
    <row r="283" spans="1:36" x14ac:dyDescent="0.35">
      <c r="A283" vm="581">
        <f ca="1"/>
        <v>45701</v>
      </c>
      <c r="B283" vm="582">
        <f ca="1"/>
        <v>135.29</v>
      </c>
      <c r="C283" s="4">
        <f t="shared" ca="1" si="22"/>
        <v>3.1645569620253208E-2</v>
      </c>
      <c r="D283" s="4">
        <f t="shared" ca="1" si="23"/>
        <v>3.1155167779795479E-2</v>
      </c>
      <c r="E283" s="8">
        <f t="shared" ca="1" si="24"/>
        <v>4.1500000000000057</v>
      </c>
      <c r="F283" s="8" vm="580">
        <f t="shared" ca="1" si="25"/>
        <v>131.13999999999999</v>
      </c>
      <c r="AC283">
        <v>281</v>
      </c>
      <c r="AD283" s="4">
        <v>7.9098247201097621E-2</v>
      </c>
      <c r="AF283">
        <v>281</v>
      </c>
      <c r="AG283" s="4">
        <v>6.8312473834807397E-3</v>
      </c>
      <c r="AI283">
        <v>281</v>
      </c>
      <c r="AJ283" s="4">
        <v>7.3194034652485614E-3</v>
      </c>
    </row>
    <row r="284" spans="1:36" x14ac:dyDescent="0.35">
      <c r="A284" vm="583">
        <f ca="1"/>
        <v>45702</v>
      </c>
      <c r="B284" vm="584">
        <f ca="1"/>
        <v>138.85</v>
      </c>
      <c r="C284" s="4">
        <f t="shared" ca="1" si="22"/>
        <v>2.6313844334392805E-2</v>
      </c>
      <c r="D284" s="4">
        <f t="shared" ca="1" si="23"/>
        <v>2.5973591137539755E-2</v>
      </c>
      <c r="E284" s="8">
        <f t="shared" ca="1" si="24"/>
        <v>3.5600000000000023</v>
      </c>
      <c r="F284" s="8" vm="582">
        <f t="shared" ca="1" si="25"/>
        <v>135.29</v>
      </c>
      <c r="AC284">
        <v>282</v>
      </c>
      <c r="AD284" s="4">
        <v>4.8018137109486346E-2</v>
      </c>
      <c r="AF284">
        <v>282</v>
      </c>
      <c r="AG284" s="4">
        <v>6.8011165503924472E-3</v>
      </c>
      <c r="AI284">
        <v>282</v>
      </c>
      <c r="AJ284" s="4">
        <v>7.6904098289982672E-3</v>
      </c>
    </row>
    <row r="285" spans="1:36" x14ac:dyDescent="0.35">
      <c r="A285" vm="585">
        <f ca="1"/>
        <v>45706</v>
      </c>
      <c r="B285" vm="586">
        <f ca="1"/>
        <v>139.4</v>
      </c>
      <c r="C285" s="4">
        <f t="shared" ca="1" si="22"/>
        <v>3.9611091105510362E-3</v>
      </c>
      <c r="D285" s="4">
        <f t="shared" ca="1" si="23"/>
        <v>3.953284573615142E-3</v>
      </c>
      <c r="E285" s="8">
        <f t="shared" ca="1" si="24"/>
        <v>0.55000000000001137</v>
      </c>
      <c r="F285" s="8" vm="584">
        <f t="shared" ca="1" si="25"/>
        <v>138.85</v>
      </c>
      <c r="AC285">
        <v>283</v>
      </c>
      <c r="AD285" s="4">
        <v>4.7017670296785233E-2</v>
      </c>
      <c r="AF285">
        <v>283</v>
      </c>
      <c r="AG285" s="4">
        <v>6.8187043892654932E-3</v>
      </c>
      <c r="AI285">
        <v>283</v>
      </c>
      <c r="AJ285" s="4">
        <v>7.3594880675329636E-3</v>
      </c>
    </row>
    <row r="286" spans="1:36" x14ac:dyDescent="0.35">
      <c r="A286" vm="587">
        <f ca="1"/>
        <v>45707</v>
      </c>
      <c r="B286" vm="588">
        <f ca="1"/>
        <v>139.22999999999999</v>
      </c>
      <c r="C286" s="4">
        <f t="shared" ca="1" si="22"/>
        <v>-1.2195121951220653E-3</v>
      </c>
      <c r="D286" s="4">
        <f t="shared" ca="1" si="23"/>
        <v>-1.2202564052294857E-3</v>
      </c>
      <c r="E286" s="8">
        <f t="shared" ca="1" si="24"/>
        <v>-0.17000000000001592</v>
      </c>
      <c r="F286" s="8" vm="586">
        <f t="shared" ca="1" si="25"/>
        <v>139.4</v>
      </c>
      <c r="AC286">
        <v>284</v>
      </c>
      <c r="AD286" s="4">
        <v>5.9557681324971502E-2</v>
      </c>
      <c r="AF286">
        <v>284</v>
      </c>
      <c r="AG286" s="4">
        <v>6.7690879516522588E-3</v>
      </c>
      <c r="AI286">
        <v>284</v>
      </c>
      <c r="AJ286" s="4">
        <v>6.9634451749399284E-3</v>
      </c>
    </row>
    <row r="287" spans="1:36" x14ac:dyDescent="0.35">
      <c r="A287" vm="589">
        <f ca="1"/>
        <v>45708</v>
      </c>
      <c r="B287" vm="535">
        <f ca="1"/>
        <v>140.11000000000001</v>
      </c>
      <c r="C287" s="4">
        <f t="shared" ca="1" si="22"/>
        <v>6.3204769087123747E-3</v>
      </c>
      <c r="D287" s="4">
        <f t="shared" ca="1" si="23"/>
        <v>6.3005864619461423E-3</v>
      </c>
      <c r="E287" s="8">
        <f t="shared" ca="1" si="24"/>
        <v>0.88000000000002387</v>
      </c>
      <c r="F287" s="8" vm="588">
        <f t="shared" ca="1" si="25"/>
        <v>139.22999999999999</v>
      </c>
      <c r="AC287">
        <v>285</v>
      </c>
      <c r="AD287" s="4">
        <v>3.7830772517153534E-2</v>
      </c>
      <c r="AF287">
        <v>285</v>
      </c>
      <c r="AG287" s="4">
        <v>6.7391699466795019E-3</v>
      </c>
      <c r="AI287">
        <v>285</v>
      </c>
      <c r="AJ287" s="4">
        <v>5.36438520297989E-3</v>
      </c>
    </row>
    <row r="288" spans="1:36" x14ac:dyDescent="0.35">
      <c r="A288" vm="590">
        <f ca="1"/>
        <v>45709</v>
      </c>
      <c r="B288" vm="591">
        <f ca="1"/>
        <v>134.43</v>
      </c>
      <c r="C288" s="4">
        <f t="shared" ca="1" si="22"/>
        <v>-4.0539576047391383E-2</v>
      </c>
      <c r="D288" s="4">
        <f t="shared" ca="1" si="23"/>
        <v>-4.1384210916978727E-2</v>
      </c>
      <c r="E288" s="8">
        <f t="shared" ca="1" si="24"/>
        <v>-5.6800000000000068</v>
      </c>
      <c r="F288" s="8" vm="535">
        <f t="shared" ca="1" si="25"/>
        <v>140.11000000000001</v>
      </c>
      <c r="AC288">
        <v>286</v>
      </c>
      <c r="AD288" s="4">
        <v>3.9319361167881796E-2</v>
      </c>
      <c r="AF288">
        <v>286</v>
      </c>
      <c r="AG288" s="4">
        <v>6.8985187401368157E-3</v>
      </c>
      <c r="AI288">
        <v>286</v>
      </c>
      <c r="AJ288" s="4">
        <v>6.0784297110389766E-3</v>
      </c>
    </row>
    <row r="289" spans="1:36" x14ac:dyDescent="0.35">
      <c r="A289" vm="592">
        <f ca="1"/>
        <v>45712</v>
      </c>
      <c r="B289" vm="593">
        <f ca="1"/>
        <v>130.28</v>
      </c>
      <c r="C289" s="4">
        <f t="shared" ca="1" si="22"/>
        <v>-3.0871085323216585E-2</v>
      </c>
      <c r="D289" s="4">
        <f t="shared" ca="1" si="23"/>
        <v>-3.1357637058128648E-2</v>
      </c>
      <c r="E289" s="8">
        <f t="shared" ca="1" si="24"/>
        <v>-4.1500000000000057</v>
      </c>
      <c r="F289" s="8" vm="591">
        <f t="shared" ca="1" si="25"/>
        <v>134.43</v>
      </c>
      <c r="AC289">
        <v>287</v>
      </c>
      <c r="AD289" s="4">
        <v>3.5859754589403471E-2</v>
      </c>
      <c r="AF289">
        <v>287</v>
      </c>
      <c r="AG289" s="4">
        <v>6.8569528069801211E-3</v>
      </c>
      <c r="AI289">
        <v>287</v>
      </c>
      <c r="AJ289" s="4">
        <v>7.0093060491491117E-3</v>
      </c>
    </row>
    <row r="290" spans="1:36" x14ac:dyDescent="0.35">
      <c r="A290" vm="594">
        <f ca="1"/>
        <v>45713</v>
      </c>
      <c r="B290" vm="595">
        <f ca="1"/>
        <v>126.63</v>
      </c>
      <c r="C290" s="4">
        <f t="shared" ca="1" si="22"/>
        <v>-2.8016579674547171E-2</v>
      </c>
      <c r="D290" s="4">
        <f t="shared" ca="1" si="23"/>
        <v>-2.8416531945515723E-2</v>
      </c>
      <c r="E290" s="8">
        <f t="shared" ca="1" si="24"/>
        <v>-3.6500000000000057</v>
      </c>
      <c r="F290" s="8" vm="593">
        <f t="shared" ca="1" si="25"/>
        <v>130.28</v>
      </c>
      <c r="AC290">
        <v>288</v>
      </c>
      <c r="AD290" s="4">
        <v>0.10162631735421515</v>
      </c>
      <c r="AF290">
        <v>288</v>
      </c>
      <c r="AG290" s="4">
        <v>6.7027752040569903E-3</v>
      </c>
      <c r="AI290">
        <v>288</v>
      </c>
      <c r="AJ290" s="4">
        <v>7.6696969453580541E-3</v>
      </c>
    </row>
    <row r="291" spans="1:36" x14ac:dyDescent="0.35">
      <c r="A291" vm="596">
        <f ca="1"/>
        <v>45714</v>
      </c>
      <c r="B291" vm="597">
        <f ca="1"/>
        <v>131.28</v>
      </c>
      <c r="C291" s="4">
        <f t="shared" ca="1" si="22"/>
        <v>3.6721156124141244E-2</v>
      </c>
      <c r="D291" s="4">
        <f t="shared" ca="1" si="23"/>
        <v>3.6062998319318362E-2</v>
      </c>
      <c r="E291" s="8">
        <f t="shared" ca="1" si="24"/>
        <v>4.6500000000000057</v>
      </c>
      <c r="F291" s="8" vm="595">
        <f t="shared" ca="1" si="25"/>
        <v>126.63</v>
      </c>
      <c r="AC291">
        <v>289</v>
      </c>
      <c r="AD291" s="4">
        <v>2.6850939539558243E-2</v>
      </c>
      <c r="AF291">
        <v>289</v>
      </c>
      <c r="AG291" s="4">
        <v>6.8166253819353763E-3</v>
      </c>
      <c r="AI291">
        <v>289</v>
      </c>
      <c r="AJ291" s="4">
        <v>6.8221156828925621E-3</v>
      </c>
    </row>
    <row r="292" spans="1:36" x14ac:dyDescent="0.35">
      <c r="A292" vm="598">
        <f ca="1"/>
        <v>45715</v>
      </c>
      <c r="B292" vm="599">
        <f ca="1"/>
        <v>120.15</v>
      </c>
      <c r="C292" s="4">
        <f t="shared" ca="1" si="22"/>
        <v>-8.4780621572212028E-2</v>
      </c>
      <c r="D292" s="4">
        <f t="shared" ca="1" si="23"/>
        <v>-8.8591484599357465E-2</v>
      </c>
      <c r="E292" s="8">
        <f t="shared" ca="1" si="24"/>
        <v>-11.129999999999995</v>
      </c>
      <c r="F292" s="8" vm="597">
        <f t="shared" ca="1" si="25"/>
        <v>131.28</v>
      </c>
      <c r="AC292">
        <v>290</v>
      </c>
      <c r="AD292" s="4">
        <v>4.156951489130057E-2</v>
      </c>
      <c r="AF292">
        <v>290</v>
      </c>
      <c r="AG292" s="4">
        <v>6.7062735283019955E-3</v>
      </c>
      <c r="AI292">
        <v>290</v>
      </c>
      <c r="AJ292" s="4">
        <v>5.5397758421172278E-3</v>
      </c>
    </row>
    <row r="293" spans="1:36" x14ac:dyDescent="0.35">
      <c r="A293" vm="600">
        <f ca="1"/>
        <v>45716</v>
      </c>
      <c r="B293" vm="405">
        <f ca="1"/>
        <v>124.92</v>
      </c>
      <c r="C293" s="4">
        <f t="shared" ca="1" si="22"/>
        <v>3.970037453183517E-2</v>
      </c>
      <c r="D293" s="4">
        <f t="shared" ca="1" si="23"/>
        <v>3.893257023239987E-2</v>
      </c>
      <c r="E293" s="8">
        <f t="shared" ca="1" si="24"/>
        <v>4.769999999999996</v>
      </c>
      <c r="F293" s="8" vm="599">
        <f t="shared" ca="1" si="25"/>
        <v>120.15</v>
      </c>
      <c r="AC293">
        <v>291</v>
      </c>
      <c r="AD293" s="4">
        <v>5.7077487143853821E-2</v>
      </c>
      <c r="AF293">
        <v>291</v>
      </c>
      <c r="AG293" s="4">
        <v>6.8190517239161003E-3</v>
      </c>
      <c r="AI293">
        <v>291</v>
      </c>
      <c r="AJ293" s="4">
        <v>5.5348407862282241E-3</v>
      </c>
    </row>
    <row r="294" spans="1:36" x14ac:dyDescent="0.35">
      <c r="A294" vm="601">
        <f ca="1"/>
        <v>45719</v>
      </c>
      <c r="B294" vm="602">
        <f ca="1"/>
        <v>114.06</v>
      </c>
      <c r="C294" s="4">
        <f t="shared" ca="1" si="22"/>
        <v>-8.6935638808837645E-2</v>
      </c>
      <c r="D294" s="4">
        <f t="shared" ca="1" si="23"/>
        <v>-9.0948906686485087E-2</v>
      </c>
      <c r="E294" s="8">
        <f t="shared" ca="1" si="24"/>
        <v>-10.86</v>
      </c>
      <c r="F294" s="8" vm="405">
        <f t="shared" ca="1" si="25"/>
        <v>124.92</v>
      </c>
      <c r="AC294">
        <v>292</v>
      </c>
      <c r="AD294" s="4">
        <v>0.13215814720902433</v>
      </c>
      <c r="AF294">
        <v>292</v>
      </c>
      <c r="AG294" s="4">
        <v>6.8502884074236612E-3</v>
      </c>
      <c r="AI294">
        <v>292</v>
      </c>
      <c r="AJ294" s="4">
        <v>7.9221101938965564E-3</v>
      </c>
    </row>
    <row r="295" spans="1:36" x14ac:dyDescent="0.35">
      <c r="A295" vm="603">
        <f ca="1"/>
        <v>45720</v>
      </c>
      <c r="B295" vm="604">
        <f ca="1"/>
        <v>115.99</v>
      </c>
      <c r="C295" s="4">
        <f t="shared" ca="1" si="22"/>
        <v>1.6920918814658886E-2</v>
      </c>
      <c r="D295" s="4">
        <f t="shared" ca="1" si="23"/>
        <v>1.6779354765391951E-2</v>
      </c>
      <c r="E295" s="8">
        <f t="shared" ca="1" si="24"/>
        <v>1.9299999999999926</v>
      </c>
      <c r="F295" s="8" vm="602">
        <f t="shared" ca="1" si="25"/>
        <v>114.06</v>
      </c>
      <c r="AC295">
        <v>293</v>
      </c>
      <c r="AD295" s="4">
        <v>6.8730882974879656E-2</v>
      </c>
      <c r="AF295">
        <v>293</v>
      </c>
      <c r="AG295" s="4">
        <v>6.7731023558009334E-3</v>
      </c>
      <c r="AI295">
        <v>293</v>
      </c>
      <c r="AJ295" s="4">
        <v>6.9665637575485858E-3</v>
      </c>
    </row>
    <row r="296" spans="1:36" x14ac:dyDescent="0.35">
      <c r="A296" vm="605">
        <f ca="1"/>
        <v>45721</v>
      </c>
      <c r="B296" vm="606">
        <f ca="1"/>
        <v>117.3</v>
      </c>
      <c r="C296" s="4">
        <f t="shared" ca="1" si="22"/>
        <v>1.1294077075609987E-2</v>
      </c>
      <c r="D296" s="4">
        <f t="shared" ca="1" si="23"/>
        <v>1.1230775165644994E-2</v>
      </c>
      <c r="E296" s="8">
        <f t="shared" ca="1" si="24"/>
        <v>1.3100000000000023</v>
      </c>
      <c r="F296" s="8" vm="604">
        <f t="shared" ca="1" si="25"/>
        <v>115.99</v>
      </c>
      <c r="AC296">
        <v>294</v>
      </c>
      <c r="AD296" s="4">
        <v>0.10694630822101867</v>
      </c>
      <c r="AF296">
        <v>294</v>
      </c>
      <c r="AG296" s="4">
        <v>6.7581505533693409E-3</v>
      </c>
      <c r="AI296">
        <v>294</v>
      </c>
      <c r="AJ296" s="4">
        <v>8.1477495900418046E-3</v>
      </c>
    </row>
    <row r="297" spans="1:36" x14ac:dyDescent="0.35">
      <c r="A297" vm="607">
        <f ca="1"/>
        <v>45722</v>
      </c>
      <c r="B297" vm="608">
        <f ca="1"/>
        <v>110.57</v>
      </c>
      <c r="C297" s="4">
        <f t="shared" ca="1" si="22"/>
        <v>-5.7374254049445898E-2</v>
      </c>
      <c r="D297" s="4">
        <f t="shared" ca="1" si="23"/>
        <v>-5.9085951105119362E-2</v>
      </c>
      <c r="E297" s="8">
        <f t="shared" ca="1" si="24"/>
        <v>-6.730000000000004</v>
      </c>
      <c r="F297" s="8" vm="606">
        <f t="shared" ca="1" si="25"/>
        <v>117.3</v>
      </c>
      <c r="AC297">
        <v>295</v>
      </c>
      <c r="AD297" s="4">
        <v>2.8863412953312684E-2</v>
      </c>
      <c r="AF297">
        <v>295</v>
      </c>
      <c r="AG297" s="4">
        <v>6.7826076909388196E-3</v>
      </c>
      <c r="AI297">
        <v>295</v>
      </c>
      <c r="AJ297" s="4">
        <v>7.5512514617143136E-3</v>
      </c>
    </row>
    <row r="298" spans="1:36" x14ac:dyDescent="0.35">
      <c r="A298" vm="609">
        <f ca="1"/>
        <v>45723</v>
      </c>
      <c r="B298" vm="610">
        <f ca="1"/>
        <v>112.69</v>
      </c>
      <c r="C298" s="4">
        <f t="shared" ca="1" si="22"/>
        <v>1.9173374333001762E-2</v>
      </c>
      <c r="D298" s="4">
        <f t="shared" ca="1" si="23"/>
        <v>1.8991881409947647E-2</v>
      </c>
      <c r="E298" s="8">
        <f t="shared" ca="1" si="24"/>
        <v>2.1200000000000045</v>
      </c>
      <c r="F298" s="8" vm="608">
        <f t="shared" ca="1" si="25"/>
        <v>110.57</v>
      </c>
      <c r="AC298">
        <v>296</v>
      </c>
      <c r="AD298" s="4">
        <v>4.7096438097542707E-2</v>
      </c>
      <c r="AF298">
        <v>296</v>
      </c>
      <c r="AG298" s="4">
        <v>6.8002712532274348E-3</v>
      </c>
      <c r="AI298">
        <v>296</v>
      </c>
      <c r="AJ298" s="4">
        <v>5.8099730035018476E-3</v>
      </c>
    </row>
    <row r="299" spans="1:36" x14ac:dyDescent="0.35">
      <c r="A299" vm="611">
        <f ca="1"/>
        <v>45726</v>
      </c>
      <c r="B299" vm="612">
        <f ca="1"/>
        <v>106.98</v>
      </c>
      <c r="C299" s="4">
        <f t="shared" ca="1" si="22"/>
        <v>-5.0669979590025678E-2</v>
      </c>
      <c r="D299" s="4">
        <f t="shared" ca="1" si="23"/>
        <v>-5.1998784861153904E-2</v>
      </c>
      <c r="E299" s="8">
        <f t="shared" ca="1" si="24"/>
        <v>-5.7099999999999937</v>
      </c>
      <c r="F299" s="8" vm="610">
        <f t="shared" ca="1" si="25"/>
        <v>112.69</v>
      </c>
      <c r="AC299">
        <v>297</v>
      </c>
      <c r="AD299" s="4">
        <v>0.13104764882386008</v>
      </c>
      <c r="AF299">
        <v>297</v>
      </c>
      <c r="AG299" s="4">
        <v>6.7472180127415579E-3</v>
      </c>
      <c r="AI299">
        <v>297</v>
      </c>
      <c r="AJ299" s="4">
        <v>7.4461024546675489E-3</v>
      </c>
    </row>
    <row r="300" spans="1:36" x14ac:dyDescent="0.35">
      <c r="A300" vm="613">
        <f ca="1"/>
        <v>45727</v>
      </c>
      <c r="B300" vm="614">
        <f ca="1"/>
        <v>108.76</v>
      </c>
      <c r="C300" s="4">
        <f t="shared" ca="1" si="22"/>
        <v>1.6638624041876996E-2</v>
      </c>
      <c r="D300" s="4">
        <f t="shared" ca="1" si="23"/>
        <v>1.650171866116593E-2</v>
      </c>
      <c r="E300" s="8">
        <f t="shared" ca="1" si="24"/>
        <v>1.7800000000000011</v>
      </c>
      <c r="F300" s="8" vm="612">
        <f t="shared" ca="1" si="25"/>
        <v>106.98</v>
      </c>
      <c r="AC300">
        <v>298</v>
      </c>
      <c r="AD300" s="4">
        <v>4.8756703575157767E-2</v>
      </c>
      <c r="AF300">
        <v>298</v>
      </c>
      <c r="AG300" s="4">
        <v>6.7341160679171373E-3</v>
      </c>
      <c r="AI300">
        <v>298</v>
      </c>
      <c r="AJ300" s="4">
        <v>6.9946126072196746E-3</v>
      </c>
    </row>
    <row r="301" spans="1:36" x14ac:dyDescent="0.35">
      <c r="A301" vm="615">
        <f ca="1"/>
        <v>45728</v>
      </c>
      <c r="B301" vm="616">
        <f ca="1"/>
        <v>115.74</v>
      </c>
      <c r="C301" s="4">
        <f t="shared" ca="1" si="22"/>
        <v>6.4178006620080816E-2</v>
      </c>
      <c r="D301" s="4">
        <f t="shared" ca="1" si="23"/>
        <v>6.2202676381422621E-2</v>
      </c>
      <c r="E301" s="8">
        <f t="shared" ca="1" si="24"/>
        <v>6.9799999999999898</v>
      </c>
      <c r="F301" s="8" vm="614">
        <f t="shared" ca="1" si="25"/>
        <v>108.76</v>
      </c>
      <c r="AC301">
        <v>299</v>
      </c>
      <c r="AD301" s="4">
        <v>2.8041575548474425E-2</v>
      </c>
      <c r="AF301">
        <v>299</v>
      </c>
      <c r="AG301" s="4">
        <v>6.7313140750235832E-3</v>
      </c>
      <c r="AI301">
        <v>299</v>
      </c>
      <c r="AJ301" s="4">
        <v>6.8064850028557722E-3</v>
      </c>
    </row>
    <row r="302" spans="1:36" x14ac:dyDescent="0.35">
      <c r="A302" vm="617">
        <f ca="1"/>
        <v>45729</v>
      </c>
      <c r="B302" vm="618">
        <f ca="1"/>
        <v>115.58</v>
      </c>
      <c r="C302" s="4">
        <f t="shared" ca="1" si="22"/>
        <v>-1.382408847416594E-3</v>
      </c>
      <c r="D302" s="4">
        <f t="shared" ca="1" si="23"/>
        <v>-1.383365256060755E-3</v>
      </c>
      <c r="E302" s="8">
        <f t="shared" ca="1" si="24"/>
        <v>-0.15999999999999659</v>
      </c>
      <c r="F302" s="8" vm="616">
        <f t="shared" ca="1" si="25"/>
        <v>115.74</v>
      </c>
      <c r="AC302">
        <v>300</v>
      </c>
      <c r="AD302" s="4">
        <v>3.8940633915347411E-2</v>
      </c>
      <c r="AF302">
        <v>300</v>
      </c>
      <c r="AG302" s="4">
        <v>6.8258053891072125E-3</v>
      </c>
      <c r="AI302">
        <v>300</v>
      </c>
      <c r="AJ302" s="4">
        <v>6.2768985131415964E-3</v>
      </c>
    </row>
    <row r="303" spans="1:36" x14ac:dyDescent="0.35">
      <c r="A303" vm="619">
        <f ca="1"/>
        <v>45730</v>
      </c>
      <c r="B303" vm="620">
        <f ca="1"/>
        <v>121.67</v>
      </c>
      <c r="C303" s="4">
        <f t="shared" ca="1" si="22"/>
        <v>5.2690776951029618E-2</v>
      </c>
      <c r="D303" s="4">
        <f t="shared" ca="1" si="23"/>
        <v>5.1349530909725834E-2</v>
      </c>
      <c r="E303" s="8">
        <f t="shared" ca="1" si="24"/>
        <v>6.0900000000000034</v>
      </c>
      <c r="F303" s="8" vm="618">
        <f t="shared" ca="1" si="25"/>
        <v>115.58</v>
      </c>
      <c r="AC303">
        <v>301</v>
      </c>
      <c r="AD303" s="4">
        <v>8.8930636190610854E-2</v>
      </c>
      <c r="AF303">
        <v>301</v>
      </c>
      <c r="AG303" s="4">
        <v>6.8112313882841844E-3</v>
      </c>
      <c r="AI303">
        <v>301</v>
      </c>
      <c r="AJ303" s="4">
        <v>6.7226567746107111E-3</v>
      </c>
    </row>
    <row r="304" spans="1:36" x14ac:dyDescent="0.35">
      <c r="A304" vm="621">
        <f ca="1"/>
        <v>45733</v>
      </c>
      <c r="B304" vm="622">
        <f ca="1"/>
        <v>119.53</v>
      </c>
      <c r="C304" s="4">
        <f t="shared" ca="1" si="22"/>
        <v>-1.7588559217555689E-2</v>
      </c>
      <c r="D304" s="4">
        <f t="shared" ca="1" si="23"/>
        <v>-1.7745075909468073E-2</v>
      </c>
      <c r="E304" s="8">
        <f t="shared" ca="1" si="24"/>
        <v>-2.1400000000000006</v>
      </c>
      <c r="F304" s="8" vm="620">
        <f t="shared" ca="1" si="25"/>
        <v>121.67</v>
      </c>
      <c r="AC304">
        <v>302</v>
      </c>
      <c r="AD304" s="4">
        <v>5.342469256676996E-2</v>
      </c>
      <c r="AF304">
        <v>302</v>
      </c>
      <c r="AG304" s="4">
        <v>6.834959827628934E-3</v>
      </c>
      <c r="AI304">
        <v>302</v>
      </c>
      <c r="AJ304" s="4">
        <v>6.8222760006938976E-3</v>
      </c>
    </row>
    <row r="305" spans="1:36" x14ac:dyDescent="0.35">
      <c r="A305" vm="623">
        <f ca="1"/>
        <v>45734</v>
      </c>
      <c r="B305" vm="624">
        <f ca="1"/>
        <v>115.43</v>
      </c>
      <c r="C305" s="4">
        <f t="shared" ca="1" si="22"/>
        <v>-3.4301012298167774E-2</v>
      </c>
      <c r="D305" s="4">
        <f t="shared" ca="1" si="23"/>
        <v>-3.4903100263068657E-2</v>
      </c>
      <c r="E305" s="8">
        <f t="shared" ca="1" si="24"/>
        <v>-4.0999999999999943</v>
      </c>
      <c r="F305" s="8" vm="622">
        <f t="shared" ca="1" si="25"/>
        <v>119.53</v>
      </c>
      <c r="AC305">
        <v>303</v>
      </c>
      <c r="AD305" s="4">
        <v>2.4799481832175379E-2</v>
      </c>
      <c r="AF305">
        <v>303</v>
      </c>
      <c r="AG305" s="4">
        <v>6.7302188755874182E-3</v>
      </c>
      <c r="AI305">
        <v>303</v>
      </c>
      <c r="AJ305" s="4">
        <v>5.6820695287805641E-3</v>
      </c>
    </row>
    <row r="306" spans="1:36" x14ac:dyDescent="0.35">
      <c r="A306" vm="625">
        <f ca="1"/>
        <v>45735</v>
      </c>
      <c r="B306" vm="626">
        <f ca="1"/>
        <v>117.52</v>
      </c>
      <c r="C306" s="4">
        <f t="shared" ca="1" si="22"/>
        <v>1.8106211556787568E-2</v>
      </c>
      <c r="D306" s="4">
        <f t="shared" ca="1" si="23"/>
        <v>1.7944246238800962E-2</v>
      </c>
      <c r="E306" s="8">
        <f t="shared" ca="1" si="24"/>
        <v>2.0899999999999892</v>
      </c>
      <c r="F306" s="8" vm="624">
        <f t="shared" ca="1" si="25"/>
        <v>115.43</v>
      </c>
      <c r="AC306">
        <v>304</v>
      </c>
      <c r="AD306" s="4">
        <v>8.6663901050547609E-2</v>
      </c>
      <c r="AF306">
        <v>304</v>
      </c>
      <c r="AG306" s="4">
        <v>6.9080973114017015E-3</v>
      </c>
      <c r="AI306">
        <v>304</v>
      </c>
      <c r="AJ306" s="4">
        <v>6.1616016051464304E-3</v>
      </c>
    </row>
    <row r="307" spans="1:36" x14ac:dyDescent="0.35">
      <c r="A307" vm="627">
        <f ca="1"/>
        <v>45736</v>
      </c>
      <c r="B307" vm="628">
        <f ca="1"/>
        <v>118.53</v>
      </c>
      <c r="C307" s="4">
        <f t="shared" ca="1" si="22"/>
        <v>8.5942818243703641E-3</v>
      </c>
      <c r="D307" s="4">
        <f t="shared" ca="1" si="23"/>
        <v>8.5575612257871476E-3</v>
      </c>
      <c r="E307" s="8">
        <f t="shared" ca="1" si="24"/>
        <v>1.0100000000000051</v>
      </c>
      <c r="F307" s="8" vm="626">
        <f t="shared" ca="1" si="25"/>
        <v>117.52</v>
      </c>
      <c r="AC307">
        <v>305</v>
      </c>
      <c r="AD307" s="4">
        <v>0.13478953317888617</v>
      </c>
      <c r="AF307">
        <v>305</v>
      </c>
      <c r="AG307" s="4">
        <v>6.8487791702190985E-3</v>
      </c>
      <c r="AI307">
        <v>305</v>
      </c>
      <c r="AJ307" s="4">
        <v>7.313423145084744E-3</v>
      </c>
    </row>
    <row r="308" spans="1:36" x14ac:dyDescent="0.35">
      <c r="A308" vm="629">
        <f ca="1"/>
        <v>45737</v>
      </c>
      <c r="B308" vm="630">
        <f ca="1"/>
        <v>117.7</v>
      </c>
      <c r="C308" s="4">
        <f t="shared" ca="1" si="22"/>
        <v>-7.002446637981931E-3</v>
      </c>
      <c r="D308" s="4">
        <f t="shared" ca="1" si="23"/>
        <v>-7.0270788251779615E-3</v>
      </c>
      <c r="E308" s="8">
        <f t="shared" ca="1" si="24"/>
        <v>-0.82999999999999829</v>
      </c>
      <c r="F308" s="8" vm="628">
        <f t="shared" ca="1" si="25"/>
        <v>118.53</v>
      </c>
      <c r="AC308">
        <v>306</v>
      </c>
      <c r="AD308" s="4">
        <v>9.8200203441078007E-2</v>
      </c>
      <c r="AF308">
        <v>306</v>
      </c>
      <c r="AG308" s="4">
        <v>6.8286133406538713E-3</v>
      </c>
      <c r="AI308">
        <v>306</v>
      </c>
      <c r="AJ308" s="4">
        <v>6.0066740948278982E-3</v>
      </c>
    </row>
    <row r="309" spans="1:36" x14ac:dyDescent="0.35">
      <c r="A309" vm="631">
        <f ca="1"/>
        <v>45740</v>
      </c>
      <c r="B309" vm="632">
        <f ca="1"/>
        <v>121.41</v>
      </c>
      <c r="C309" s="4">
        <f t="shared" ca="1" si="22"/>
        <v>3.1520815632965112E-2</v>
      </c>
      <c r="D309" s="4">
        <f t="shared" ca="1" si="23"/>
        <v>3.1034233289652859E-2</v>
      </c>
      <c r="E309" s="8">
        <f t="shared" ca="1" si="24"/>
        <v>3.7099999999999937</v>
      </c>
      <c r="F309" s="8" vm="630">
        <f t="shared" ca="1" si="25"/>
        <v>117.7</v>
      </c>
      <c r="AC309">
        <v>307</v>
      </c>
      <c r="AD309" s="4">
        <v>7.2465207017663874E-2</v>
      </c>
      <c r="AF309">
        <v>307</v>
      </c>
      <c r="AG309" s="4">
        <v>6.70561166674541E-3</v>
      </c>
      <c r="AI309">
        <v>307</v>
      </c>
      <c r="AJ309" s="4">
        <v>7.1461544787915394E-3</v>
      </c>
    </row>
    <row r="310" spans="1:36" x14ac:dyDescent="0.35">
      <c r="A310" vm="633">
        <f ca="1"/>
        <v>45741</v>
      </c>
      <c r="B310" vm="634">
        <f ca="1"/>
        <v>120.69</v>
      </c>
      <c r="C310" s="4">
        <f t="shared" ca="1" si="22"/>
        <v>-5.9303187546330526E-3</v>
      </c>
      <c r="D310" s="4">
        <f t="shared" ca="1" si="23"/>
        <v>-5.9479729260773087E-3</v>
      </c>
      <c r="E310" s="8">
        <f t="shared" ca="1" si="24"/>
        <v>-0.71999999999999886</v>
      </c>
      <c r="F310" s="8" vm="632">
        <f t="shared" ca="1" si="25"/>
        <v>121.41</v>
      </c>
      <c r="AC310">
        <v>308</v>
      </c>
      <c r="AD310" s="4">
        <v>2.4599918733432313E-2</v>
      </c>
      <c r="AF310">
        <v>308</v>
      </c>
      <c r="AG310" s="4">
        <v>6.7714328746981854E-3</v>
      </c>
      <c r="AI310">
        <v>308</v>
      </c>
      <c r="AJ310" s="4">
        <v>9.2412165255494495E-3</v>
      </c>
    </row>
    <row r="311" spans="1:36" x14ac:dyDescent="0.35">
      <c r="A311" vm="635">
        <f ca="1"/>
        <v>45742</v>
      </c>
      <c r="B311" vm="636">
        <f ca="1"/>
        <v>113.76</v>
      </c>
      <c r="C311" s="4">
        <f t="shared" ca="1" si="22"/>
        <v>-5.7419835943325816E-2</v>
      </c>
      <c r="D311" s="4">
        <f t="shared" ca="1" si="23"/>
        <v>-5.9134308574875692E-2</v>
      </c>
      <c r="E311" s="8">
        <f t="shared" ca="1" si="24"/>
        <v>-6.9299999999999926</v>
      </c>
      <c r="F311" s="8" vm="634">
        <f t="shared" ca="1" si="25"/>
        <v>120.69</v>
      </c>
      <c r="AC311">
        <v>309</v>
      </c>
      <c r="AD311" s="4">
        <v>0.10499715101818637</v>
      </c>
      <c r="AF311">
        <v>309</v>
      </c>
      <c r="AG311" s="4">
        <v>6.6738571614500504E-3</v>
      </c>
      <c r="AI311">
        <v>309</v>
      </c>
      <c r="AJ311" s="4">
        <v>6.2236104724502144E-3</v>
      </c>
    </row>
    <row r="312" spans="1:36" x14ac:dyDescent="0.35">
      <c r="A312" vm="637">
        <f ca="1"/>
        <v>45743</v>
      </c>
      <c r="B312" vm="638">
        <f ca="1"/>
        <v>111.43</v>
      </c>
      <c r="C312" s="4">
        <f t="shared" ca="1" si="22"/>
        <v>-2.0481715893108283E-2</v>
      </c>
      <c r="D312" s="4">
        <f t="shared" ca="1" si="23"/>
        <v>-2.0694374995968212E-2</v>
      </c>
      <c r="E312" s="8">
        <f t="shared" ca="1" si="24"/>
        <v>-2.3299999999999983</v>
      </c>
      <c r="F312" s="8" vm="636">
        <f t="shared" ca="1" si="25"/>
        <v>113.76</v>
      </c>
      <c r="AC312">
        <v>310</v>
      </c>
      <c r="AD312" s="4">
        <v>0.13764463663548346</v>
      </c>
      <c r="AF312">
        <v>310</v>
      </c>
      <c r="AG312" s="4">
        <v>6.7084994597690246E-3</v>
      </c>
      <c r="AI312">
        <v>310</v>
      </c>
      <c r="AJ312" s="4">
        <v>7.5077387219471738E-3</v>
      </c>
    </row>
    <row r="313" spans="1:36" x14ac:dyDescent="0.35">
      <c r="A313" vm="639">
        <f ca="1"/>
        <v>45744</v>
      </c>
      <c r="B313" vm="640">
        <f ca="1"/>
        <v>109.67</v>
      </c>
      <c r="C313" s="4">
        <f t="shared" ca="1" si="22"/>
        <v>-1.5794669299111594E-2</v>
      </c>
      <c r="D313" s="4">
        <f t="shared" ca="1" si="23"/>
        <v>-1.5920734286845054E-2</v>
      </c>
      <c r="E313" s="8">
        <f t="shared" ca="1" si="24"/>
        <v>-1.7600000000000051</v>
      </c>
      <c r="F313" s="8" vm="638">
        <f t="shared" ca="1" si="25"/>
        <v>111.43</v>
      </c>
      <c r="AC313">
        <v>311</v>
      </c>
      <c r="AD313" s="4">
        <v>4.719110557331628E-2</v>
      </c>
      <c r="AF313">
        <v>311</v>
      </c>
      <c r="AG313" s="4">
        <v>6.7632478496101461E-3</v>
      </c>
      <c r="AI313">
        <v>311</v>
      </c>
      <c r="AJ313" s="4">
        <v>7.4000489919851921E-3</v>
      </c>
    </row>
    <row r="314" spans="1:36" x14ac:dyDescent="0.35">
      <c r="A314" vm="641">
        <f ca="1"/>
        <v>45747</v>
      </c>
      <c r="B314" vm="642">
        <f ca="1"/>
        <v>108.38</v>
      </c>
      <c r="C314" s="4">
        <f t="shared" ca="1" si="22"/>
        <v>-1.1762560408498279E-2</v>
      </c>
      <c r="D314" s="4">
        <f t="shared" ca="1" si="23"/>
        <v>-1.183228663414946E-2</v>
      </c>
      <c r="E314" s="8">
        <f t="shared" ca="1" si="24"/>
        <v>-1.2900000000000063</v>
      </c>
      <c r="F314" s="8" vm="640">
        <f t="shared" ca="1" si="25"/>
        <v>109.67</v>
      </c>
      <c r="AC314">
        <v>312</v>
      </c>
      <c r="AD314" s="4">
        <v>3.2514366163508293E-2</v>
      </c>
      <c r="AF314">
        <v>312</v>
      </c>
      <c r="AG314" s="4">
        <v>6.8120925832307168E-3</v>
      </c>
      <c r="AI314">
        <v>312</v>
      </c>
      <c r="AJ314" s="4">
        <v>7.6602637392015919E-3</v>
      </c>
    </row>
    <row r="315" spans="1:36" x14ac:dyDescent="0.35">
      <c r="A315" vm="643">
        <f ca="1"/>
        <v>45748</v>
      </c>
      <c r="B315" vm="644">
        <f ca="1"/>
        <v>110.15</v>
      </c>
      <c r="C315" s="4">
        <f t="shared" ca="1" si="22"/>
        <v>1.6331426462447042E-2</v>
      </c>
      <c r="D315" s="4">
        <f t="shared" ca="1" si="23"/>
        <v>1.6199503110384043E-2</v>
      </c>
      <c r="E315" s="8">
        <f t="shared" ca="1" si="24"/>
        <v>1.7700000000000102</v>
      </c>
      <c r="F315" s="8" vm="642">
        <f t="shared" ca="1" si="25"/>
        <v>108.38</v>
      </c>
      <c r="AC315">
        <v>313</v>
      </c>
      <c r="AD315" s="4">
        <v>3.8765765610222658E-2</v>
      </c>
      <c r="AF315">
        <v>313</v>
      </c>
      <c r="AG315" s="4">
        <v>6.8227359598943098E-3</v>
      </c>
      <c r="AI315">
        <v>313</v>
      </c>
      <c r="AJ315" s="4">
        <v>6.9951192285275217E-3</v>
      </c>
    </row>
    <row r="316" spans="1:36" x14ac:dyDescent="0.35">
      <c r="A316" vm="645">
        <f ca="1"/>
        <v>45749</v>
      </c>
      <c r="B316" vm="646">
        <f ca="1"/>
        <v>110.42</v>
      </c>
      <c r="C316" s="4">
        <f t="shared" ca="1" si="22"/>
        <v>2.4512029051293326E-3</v>
      </c>
      <c r="D316" s="4">
        <f t="shared" ca="1" si="23"/>
        <v>2.4482036075463964E-3</v>
      </c>
      <c r="E316" s="8">
        <f t="shared" ca="1" si="24"/>
        <v>0.26999999999999602</v>
      </c>
      <c r="F316" s="8" vm="644">
        <f t="shared" ca="1" si="25"/>
        <v>110.15</v>
      </c>
      <c r="AC316">
        <v>314</v>
      </c>
      <c r="AD316" s="4">
        <v>3.0916970886179996E-2</v>
      </c>
      <c r="AF316">
        <v>314</v>
      </c>
      <c r="AG316" s="4">
        <v>6.8180047572873248E-3</v>
      </c>
      <c r="AI316">
        <v>314</v>
      </c>
      <c r="AJ316" s="4">
        <v>7.471131886339708E-3</v>
      </c>
    </row>
    <row r="317" spans="1:36" x14ac:dyDescent="0.35">
      <c r="A317" vm="647">
        <f ca="1"/>
        <v>45750</v>
      </c>
      <c r="B317" vm="648">
        <f ca="1"/>
        <v>101.8</v>
      </c>
      <c r="C317" s="4">
        <f t="shared" ca="1" si="22"/>
        <v>-7.8065567831914554E-2</v>
      </c>
      <c r="D317" s="4">
        <f t="shared" ca="1" si="23"/>
        <v>-8.1281172739476215E-2</v>
      </c>
      <c r="E317" s="8">
        <f t="shared" ca="1" si="24"/>
        <v>-8.6200000000000045</v>
      </c>
      <c r="F317" s="8" vm="646">
        <f t="shared" ca="1" si="25"/>
        <v>110.42</v>
      </c>
      <c r="AC317">
        <v>315</v>
      </c>
      <c r="AD317" s="4">
        <v>7.5591347941633108E-2</v>
      </c>
      <c r="AF317">
        <v>315</v>
      </c>
      <c r="AG317" s="4">
        <v>6.8655205447650117E-3</v>
      </c>
      <c r="AI317">
        <v>315</v>
      </c>
      <c r="AJ317" s="4">
        <v>6.116474677216017E-3</v>
      </c>
    </row>
    <row r="318" spans="1:36" x14ac:dyDescent="0.35">
      <c r="A318" vm="649">
        <f ca="1"/>
        <v>45751</v>
      </c>
      <c r="B318" vm="650">
        <f ca="1"/>
        <v>94.31</v>
      </c>
      <c r="C318" s="4">
        <f t="shared" ca="1" si="22"/>
        <v>-7.3575638506876179E-2</v>
      </c>
      <c r="D318" s="4">
        <f t="shared" ca="1" si="23"/>
        <v>-7.6422875560628892E-2</v>
      </c>
      <c r="E318" s="8">
        <f t="shared" ca="1" si="24"/>
        <v>-7.4899999999999949</v>
      </c>
      <c r="F318" s="8" vm="648">
        <f t="shared" ca="1" si="25"/>
        <v>101.8</v>
      </c>
      <c r="AC318">
        <v>316</v>
      </c>
      <c r="AD318" s="4">
        <v>4.3244971762268894E-2</v>
      </c>
      <c r="AF318">
        <v>316</v>
      </c>
      <c r="AG318" s="4">
        <v>6.7487982686867476E-3</v>
      </c>
      <c r="AI318">
        <v>316</v>
      </c>
      <c r="AJ318" s="4">
        <v>6.6959618695665571E-3</v>
      </c>
    </row>
    <row r="319" spans="1:36" x14ac:dyDescent="0.35">
      <c r="A319" vm="651">
        <f ca="1"/>
        <v>45754</v>
      </c>
      <c r="B319" vm="652">
        <f ca="1"/>
        <v>97.64</v>
      </c>
      <c r="C319" s="4">
        <f t="shared" ca="1" si="22"/>
        <v>3.5309087053334728E-2</v>
      </c>
      <c r="D319" s="4">
        <f t="shared" ca="1" si="23"/>
        <v>3.4700016968965922E-2</v>
      </c>
      <c r="E319" s="8">
        <f t="shared" ca="1" si="24"/>
        <v>3.3299999999999983</v>
      </c>
      <c r="F319" s="8" vm="650">
        <f t="shared" ca="1" si="25"/>
        <v>94.31</v>
      </c>
      <c r="AC319">
        <v>317</v>
      </c>
      <c r="AD319" s="4">
        <v>2.6719960724880192E-2</v>
      </c>
      <c r="AF319">
        <v>317</v>
      </c>
      <c r="AG319" s="4">
        <v>6.7868539288365917E-3</v>
      </c>
      <c r="AI319">
        <v>317</v>
      </c>
      <c r="AJ319" s="4">
        <v>6.2188100901651852E-3</v>
      </c>
    </row>
    <row r="320" spans="1:36" x14ac:dyDescent="0.35">
      <c r="A320" vm="653">
        <f ca="1"/>
        <v>45755</v>
      </c>
      <c r="B320" vm="654">
        <f ca="1"/>
        <v>96.3</v>
      </c>
      <c r="C320" s="4">
        <f t="shared" ca="1" si="22"/>
        <v>-1.3723883654240101E-2</v>
      </c>
      <c r="D320" s="4">
        <f t="shared" ca="1" si="23"/>
        <v>-1.3818926720679537E-2</v>
      </c>
      <c r="E320" s="8">
        <f t="shared" ca="1" si="24"/>
        <v>-1.3400000000000034</v>
      </c>
      <c r="F320" s="8" vm="652">
        <f t="shared" ca="1" si="25"/>
        <v>97.64</v>
      </c>
      <c r="AC320">
        <v>318</v>
      </c>
      <c r="AD320" s="4">
        <v>3.6407114842485509E-2</v>
      </c>
      <c r="AF320">
        <v>318</v>
      </c>
      <c r="AG320" s="4">
        <v>6.8674636948219681E-3</v>
      </c>
      <c r="AI320">
        <v>318</v>
      </c>
      <c r="AJ320" s="4">
        <v>5.9256607514296677E-3</v>
      </c>
    </row>
    <row r="321" spans="1:36" x14ac:dyDescent="0.35">
      <c r="A321" vm="655">
        <f ca="1"/>
        <v>45756</v>
      </c>
      <c r="B321" vm="656">
        <f ca="1"/>
        <v>114.33</v>
      </c>
      <c r="C321" s="4">
        <f t="shared" ca="1" si="22"/>
        <v>0.18722741433021808</v>
      </c>
      <c r="D321" s="4">
        <f t="shared" ca="1" si="23"/>
        <v>0.17162068474979875</v>
      </c>
      <c r="E321" s="8">
        <f t="shared" ca="1" si="24"/>
        <v>18.03</v>
      </c>
      <c r="F321" s="8" vm="654">
        <f t="shared" ca="1" si="25"/>
        <v>96.3</v>
      </c>
      <c r="AC321">
        <v>319</v>
      </c>
      <c r="AD321" s="4">
        <v>5.7077373846498046E-2</v>
      </c>
      <c r="AF321">
        <v>319</v>
      </c>
      <c r="AG321" s="4">
        <v>6.7631054521868498E-3</v>
      </c>
      <c r="AI321">
        <v>319</v>
      </c>
      <c r="AJ321" s="4">
        <v>7.5069437648121688E-3</v>
      </c>
    </row>
    <row r="322" spans="1:36" x14ac:dyDescent="0.35">
      <c r="A322" vm="657">
        <f ca="1"/>
        <v>45757</v>
      </c>
      <c r="B322" vm="658">
        <f ca="1"/>
        <v>107.57</v>
      </c>
      <c r="C322" s="4">
        <f t="shared" ca="1" si="22"/>
        <v>-5.9127088253301895E-2</v>
      </c>
      <c r="D322" s="4">
        <f t="shared" ca="1" si="23"/>
        <v>-6.0947205109964556E-2</v>
      </c>
      <c r="E322" s="8">
        <f t="shared" ca="1" si="24"/>
        <v>-6.7600000000000051</v>
      </c>
      <c r="F322" s="8" vm="656">
        <f t="shared" ca="1" si="25"/>
        <v>114.33</v>
      </c>
      <c r="AC322">
        <v>320</v>
      </c>
      <c r="AD322" s="4">
        <v>2.9718100650194524E-2</v>
      </c>
      <c r="AF322">
        <v>320</v>
      </c>
      <c r="AG322" s="4">
        <v>6.8461259196742844E-3</v>
      </c>
      <c r="AI322">
        <v>320</v>
      </c>
      <c r="AJ322" s="4">
        <v>7.0622736654446802E-3</v>
      </c>
    </row>
    <row r="323" spans="1:36" x14ac:dyDescent="0.35">
      <c r="A323" vm="659">
        <f ca="1"/>
        <v>45758</v>
      </c>
      <c r="B323" vm="660">
        <f ca="1"/>
        <v>110.93</v>
      </c>
      <c r="C323" s="4">
        <f t="shared" ca="1" si="22"/>
        <v>3.1235474574695676E-2</v>
      </c>
      <c r="D323" s="4">
        <f t="shared" ca="1" si="23"/>
        <v>3.0757573306654296E-2</v>
      </c>
      <c r="E323" s="8">
        <f t="shared" ca="1" si="24"/>
        <v>3.3600000000000136</v>
      </c>
      <c r="F323" s="8" vm="658">
        <f t="shared" ca="1" si="25"/>
        <v>107.57</v>
      </c>
      <c r="AC323">
        <v>321</v>
      </c>
      <c r="AD323" s="4">
        <v>3.1018034544225574E-2</v>
      </c>
      <c r="AF323">
        <v>321</v>
      </c>
      <c r="AG323" s="4">
        <v>6.8077589488015292E-3</v>
      </c>
      <c r="AI323">
        <v>321</v>
      </c>
      <c r="AJ323" s="4">
        <v>7.3332740170869585E-3</v>
      </c>
    </row>
    <row r="324" spans="1:36" x14ac:dyDescent="0.35">
      <c r="A324" vm="661">
        <f ca="1"/>
        <v>45761</v>
      </c>
      <c r="B324" vm="662">
        <f ca="1"/>
        <v>110.71</v>
      </c>
      <c r="C324" s="4">
        <f t="shared" ca="1" si="22"/>
        <v>-1.9832326692509968E-3</v>
      </c>
      <c r="D324" s="4">
        <f t="shared" ca="1" si="23"/>
        <v>-1.9852018791929812E-3</v>
      </c>
      <c r="E324" s="8">
        <f t="shared" ca="1" si="24"/>
        <v>-0.22000000000001307</v>
      </c>
      <c r="F324" s="8" vm="660">
        <f t="shared" ca="1" si="25"/>
        <v>110.93</v>
      </c>
      <c r="AC324">
        <v>322</v>
      </c>
      <c r="AD324" s="4">
        <v>3.3618329333242915E-2</v>
      </c>
      <c r="AF324">
        <v>322</v>
      </c>
      <c r="AG324" s="4">
        <v>6.8033021722900466E-3</v>
      </c>
      <c r="AI324">
        <v>322</v>
      </c>
      <c r="AJ324" s="4">
        <v>6.281521839019772E-3</v>
      </c>
    </row>
    <row r="325" spans="1:36" x14ac:dyDescent="0.35">
      <c r="A325" vm="663">
        <f ca="1"/>
        <v>45762</v>
      </c>
      <c r="B325" vm="664">
        <f ca="1"/>
        <v>112.2</v>
      </c>
      <c r="C325" s="4">
        <f t="shared" ref="C325:C388" ca="1" si="26">IFERROR((B325-B324)/B324,C324)</f>
        <v>1.3458585493632094E-2</v>
      </c>
      <c r="D325" s="4">
        <f t="shared" ref="D325:D388" ca="1" si="27">IFERROR(LN(B325/B324),D324)</f>
        <v>1.3368823217220485E-2</v>
      </c>
      <c r="E325" s="8">
        <f t="shared" ref="E325:E388" ca="1" si="28">IFERROR(B325-B324,0)</f>
        <v>1.4900000000000091</v>
      </c>
      <c r="F325" s="8" vm="662">
        <f t="shared" ref="F325:F388" ca="1" si="29">IFERROR(B324,F324)</f>
        <v>110.71</v>
      </c>
      <c r="AC325">
        <v>323</v>
      </c>
      <c r="AD325" s="4">
        <v>3.9449602499744663E-2</v>
      </c>
      <c r="AF325">
        <v>323</v>
      </c>
      <c r="AG325" s="4">
        <v>6.7290377911162682E-3</v>
      </c>
      <c r="AI325">
        <v>323</v>
      </c>
      <c r="AJ325" s="4">
        <v>6.5789800638466735E-3</v>
      </c>
    </row>
    <row r="326" spans="1:36" x14ac:dyDescent="0.35">
      <c r="A326" vm="665">
        <f ca="1"/>
        <v>45763</v>
      </c>
      <c r="B326" vm="666">
        <f ca="1"/>
        <v>104.49</v>
      </c>
      <c r="C326" s="4">
        <f t="shared" ca="1" si="26"/>
        <v>-6.8716577540107016E-2</v>
      </c>
      <c r="D326" s="4">
        <f t="shared" ca="1" si="27"/>
        <v>-7.1191620042576551E-2</v>
      </c>
      <c r="E326" s="8">
        <f t="shared" ca="1" si="28"/>
        <v>-7.710000000000008</v>
      </c>
      <c r="F326" s="8" vm="664">
        <f t="shared" ca="1" si="29"/>
        <v>112.2</v>
      </c>
      <c r="AC326">
        <v>324</v>
      </c>
      <c r="AD326" s="4">
        <v>2.2357416766987048E-2</v>
      </c>
      <c r="AF326">
        <v>324</v>
      </c>
      <c r="AG326" s="4">
        <v>6.8613193267229337E-3</v>
      </c>
      <c r="AI326">
        <v>324</v>
      </c>
      <c r="AJ326" s="4">
        <v>6.8756331931667117E-3</v>
      </c>
    </row>
    <row r="327" spans="1:36" x14ac:dyDescent="0.35">
      <c r="A327" vm="667">
        <f ca="1"/>
        <v>45764</v>
      </c>
      <c r="B327" vm="668">
        <f ca="1"/>
        <v>101.49</v>
      </c>
      <c r="C327" s="4">
        <f t="shared" ca="1" si="26"/>
        <v>-2.8710881424059718E-2</v>
      </c>
      <c r="D327" s="4">
        <f t="shared" ca="1" si="27"/>
        <v>-2.9131101585292748E-2</v>
      </c>
      <c r="E327" s="8">
        <f t="shared" ca="1" si="28"/>
        <v>-3</v>
      </c>
      <c r="F327" s="8" vm="666">
        <f t="shared" ca="1" si="29"/>
        <v>104.49</v>
      </c>
      <c r="AC327">
        <v>325</v>
      </c>
      <c r="AD327" s="4">
        <v>6.1244824196725313E-2</v>
      </c>
      <c r="AF327">
        <v>325</v>
      </c>
      <c r="AG327" s="4">
        <v>6.8401262919564783E-3</v>
      </c>
      <c r="AI327">
        <v>325</v>
      </c>
      <c r="AJ327" s="4">
        <v>6.3117016321998475E-3</v>
      </c>
    </row>
    <row r="328" spans="1:36" x14ac:dyDescent="0.35">
      <c r="A328" vm="669">
        <f ca="1"/>
        <v>45768</v>
      </c>
      <c r="B328" vm="670">
        <f ca="1"/>
        <v>96.91</v>
      </c>
      <c r="C328" s="4">
        <f t="shared" ca="1" si="26"/>
        <v>-4.5127598778204735E-2</v>
      </c>
      <c r="D328" s="4">
        <f t="shared" ca="1" si="27"/>
        <v>-4.6177558714268076E-2</v>
      </c>
      <c r="E328" s="8">
        <f t="shared" ca="1" si="28"/>
        <v>-4.5799999999999983</v>
      </c>
      <c r="F328" s="8" vm="668">
        <f t="shared" ca="1" si="29"/>
        <v>101.49</v>
      </c>
      <c r="AC328">
        <v>326</v>
      </c>
      <c r="AD328" s="4">
        <v>8.8919455996779653E-2</v>
      </c>
      <c r="AF328">
        <v>326</v>
      </c>
      <c r="AG328" s="4">
        <v>6.7266516297186055E-3</v>
      </c>
      <c r="AI328">
        <v>326</v>
      </c>
      <c r="AJ328" s="4">
        <v>6.9362298981604656E-3</v>
      </c>
    </row>
    <row r="329" spans="1:36" x14ac:dyDescent="0.35">
      <c r="A329" vm="671">
        <f ca="1"/>
        <v>45769</v>
      </c>
      <c r="B329" vm="672">
        <f ca="1"/>
        <v>98.89</v>
      </c>
      <c r="C329" s="4">
        <f t="shared" ca="1" si="26"/>
        <v>2.0431328036322402E-2</v>
      </c>
      <c r="D329" s="4">
        <f t="shared" ca="1" si="27"/>
        <v>2.0225408535440817E-2</v>
      </c>
      <c r="E329" s="8">
        <f t="shared" ca="1" si="28"/>
        <v>1.980000000000004</v>
      </c>
      <c r="F329" s="8" vm="670">
        <f t="shared" ca="1" si="29"/>
        <v>96.91</v>
      </c>
      <c r="AC329">
        <v>327</v>
      </c>
      <c r="AD329" s="4">
        <v>7.464428711022332E-2</v>
      </c>
      <c r="AF329">
        <v>327</v>
      </c>
      <c r="AG329" s="4">
        <v>6.831814853774377E-3</v>
      </c>
      <c r="AI329">
        <v>327</v>
      </c>
      <c r="AJ329" s="4">
        <v>7.7141681776266543E-3</v>
      </c>
    </row>
    <row r="330" spans="1:36" x14ac:dyDescent="0.35">
      <c r="A330" vm="673">
        <f ca="1"/>
        <v>45770</v>
      </c>
      <c r="B330" vm="674">
        <f ca="1"/>
        <v>102.71</v>
      </c>
      <c r="C330" s="4">
        <f t="shared" ca="1" si="26"/>
        <v>3.8628779451916201E-2</v>
      </c>
      <c r="D330" s="4">
        <f t="shared" ca="1" si="27"/>
        <v>3.7901361895813487E-2</v>
      </c>
      <c r="E330" s="8">
        <f t="shared" ca="1" si="28"/>
        <v>3.8199999999999932</v>
      </c>
      <c r="F330" s="8" vm="672">
        <f t="shared" ca="1" si="29"/>
        <v>98.89</v>
      </c>
      <c r="AC330">
        <v>328</v>
      </c>
      <c r="AD330" s="4">
        <v>3.3792761963336845E-2</v>
      </c>
      <c r="AF330">
        <v>328</v>
      </c>
      <c r="AG330" s="4">
        <v>6.7465835349206447E-3</v>
      </c>
      <c r="AI330">
        <v>328</v>
      </c>
      <c r="AJ330" s="4">
        <v>6.8497839046304408E-3</v>
      </c>
    </row>
    <row r="331" spans="1:36" x14ac:dyDescent="0.35">
      <c r="A331" vm="675">
        <f ca="1"/>
        <v>45771</v>
      </c>
      <c r="B331" vm="676">
        <f ca="1"/>
        <v>106.43</v>
      </c>
      <c r="C331" s="4">
        <f t="shared" ca="1" si="26"/>
        <v>3.6218479213319187E-2</v>
      </c>
      <c r="D331" s="4">
        <f t="shared" ca="1" si="27"/>
        <v>3.5578008875240007E-2</v>
      </c>
      <c r="E331" s="8">
        <f t="shared" ca="1" si="28"/>
        <v>3.7200000000000131</v>
      </c>
      <c r="F331" s="8" vm="674">
        <f t="shared" ca="1" si="29"/>
        <v>102.71</v>
      </c>
      <c r="AC331">
        <v>329</v>
      </c>
      <c r="AD331" s="4">
        <v>7.3585900182941255E-2</v>
      </c>
      <c r="AF331">
        <v>329</v>
      </c>
      <c r="AG331" s="4">
        <v>6.734289377990507E-3</v>
      </c>
      <c r="AI331">
        <v>329</v>
      </c>
      <c r="AJ331" s="4">
        <v>7.1870262398827569E-3</v>
      </c>
    </row>
    <row r="332" spans="1:36" x14ac:dyDescent="0.35">
      <c r="A332" vm="677">
        <f ca="1"/>
        <v>45772</v>
      </c>
      <c r="B332" vm="678">
        <f ca="1"/>
        <v>111.01</v>
      </c>
      <c r="C332" s="4">
        <f t="shared" ca="1" si="26"/>
        <v>4.3032979423094975E-2</v>
      </c>
      <c r="D332" s="4">
        <f t="shared" ca="1" si="27"/>
        <v>4.2132795291602881E-2</v>
      </c>
      <c r="E332" s="8">
        <f t="shared" ca="1" si="28"/>
        <v>4.5799999999999983</v>
      </c>
      <c r="F332" s="8" vm="676">
        <f t="shared" ca="1" si="29"/>
        <v>106.43</v>
      </c>
      <c r="AC332">
        <v>330</v>
      </c>
      <c r="AD332" s="4">
        <v>7.8000964808899731E-2</v>
      </c>
      <c r="AF332">
        <v>330</v>
      </c>
      <c r="AG332" s="4">
        <v>6.7054837561608049E-3</v>
      </c>
      <c r="AI332">
        <v>330</v>
      </c>
      <c r="AJ332" s="4">
        <v>7.9511082353881067E-3</v>
      </c>
    </row>
    <row r="333" spans="1:36" x14ac:dyDescent="0.35">
      <c r="A333" vm="679">
        <f ca="1"/>
        <v>45775</v>
      </c>
      <c r="B333" vm="680">
        <f ca="1"/>
        <v>108.73</v>
      </c>
      <c r="C333" s="4">
        <f t="shared" ca="1" si="26"/>
        <v>-2.053869020808937E-2</v>
      </c>
      <c r="D333" s="4">
        <f t="shared" ca="1" si="27"/>
        <v>-2.0752542334897719E-2</v>
      </c>
      <c r="E333" s="8">
        <f t="shared" ca="1" si="28"/>
        <v>-2.2800000000000011</v>
      </c>
      <c r="F333" s="8" vm="678">
        <f t="shared" ca="1" si="29"/>
        <v>111.01</v>
      </c>
      <c r="AC333">
        <v>331</v>
      </c>
      <c r="AD333" s="4">
        <v>5.2562578337845903E-2</v>
      </c>
      <c r="AF333">
        <v>331</v>
      </c>
      <c r="AG333" s="4">
        <v>6.8208379091071443E-3</v>
      </c>
      <c r="AI333">
        <v>331</v>
      </c>
      <c r="AJ333" s="4">
        <v>5.301362571543817E-3</v>
      </c>
    </row>
    <row r="334" spans="1:36" x14ac:dyDescent="0.35">
      <c r="A334" vm="681">
        <f ca="1"/>
        <v>45776</v>
      </c>
      <c r="B334" vm="329">
        <f ca="1"/>
        <v>109.02</v>
      </c>
      <c r="C334" s="4">
        <f t="shared" ca="1" si="26"/>
        <v>2.6671571783315738E-3</v>
      </c>
      <c r="D334" s="4">
        <f t="shared" ca="1" si="27"/>
        <v>2.6636066264767292E-3</v>
      </c>
      <c r="E334" s="8">
        <f t="shared" ca="1" si="28"/>
        <v>0.28999999999999204</v>
      </c>
      <c r="F334" s="8" vm="680">
        <f t="shared" ca="1" si="29"/>
        <v>108.73</v>
      </c>
      <c r="AC334">
        <v>332</v>
      </c>
      <c r="AD334" s="4">
        <v>4.468594300373805E-2</v>
      </c>
      <c r="AF334">
        <v>332</v>
      </c>
      <c r="AG334" s="4">
        <v>6.7777582938461341E-3</v>
      </c>
      <c r="AI334">
        <v>332</v>
      </c>
      <c r="AJ334" s="4">
        <v>4.981893879251068E-3</v>
      </c>
    </row>
    <row r="335" spans="1:36" x14ac:dyDescent="0.35">
      <c r="A335" vm="682">
        <f ca="1"/>
        <v>45777</v>
      </c>
      <c r="B335" vm="683">
        <f ca="1"/>
        <v>108.92</v>
      </c>
      <c r="C335" s="4">
        <f t="shared" ca="1" si="26"/>
        <v>-9.1726288754351792E-4</v>
      </c>
      <c r="D335" s="4">
        <f t="shared" ca="1" si="27"/>
        <v>-9.1768383057596746E-4</v>
      </c>
      <c r="E335" s="8">
        <f t="shared" ca="1" si="28"/>
        <v>-9.9999999999994316E-2</v>
      </c>
      <c r="F335" s="8" vm="329">
        <f t="shared" ca="1" si="29"/>
        <v>109.02</v>
      </c>
      <c r="AC335">
        <v>333</v>
      </c>
      <c r="AD335" s="4">
        <v>4.357219903991804E-2</v>
      </c>
      <c r="AF335">
        <v>333</v>
      </c>
      <c r="AG335" s="4">
        <v>6.7897508450099038E-3</v>
      </c>
      <c r="AI335">
        <v>333</v>
      </c>
      <c r="AJ335" s="4">
        <v>6.833234849973926E-3</v>
      </c>
    </row>
    <row r="336" spans="1:36" x14ac:dyDescent="0.35">
      <c r="A336" vm="684">
        <f ca="1"/>
        <v>45778</v>
      </c>
      <c r="B336" vm="685">
        <f ca="1"/>
        <v>111.61</v>
      </c>
      <c r="C336" s="4">
        <f t="shared" ca="1" si="26"/>
        <v>2.4697025339698839E-2</v>
      </c>
      <c r="D336" s="4">
        <f t="shared" ca="1" si="27"/>
        <v>2.4396983862064587E-2</v>
      </c>
      <c r="E336" s="8">
        <f t="shared" ca="1" si="28"/>
        <v>2.6899999999999977</v>
      </c>
      <c r="F336" s="8" vm="683">
        <f t="shared" ca="1" si="29"/>
        <v>108.92</v>
      </c>
      <c r="AC336">
        <v>334</v>
      </c>
      <c r="AD336" s="4">
        <v>4.1125585509492822E-2</v>
      </c>
      <c r="AF336">
        <v>334</v>
      </c>
      <c r="AG336" s="4">
        <v>6.7979169813206864E-3</v>
      </c>
      <c r="AI336">
        <v>334</v>
      </c>
      <c r="AJ336" s="4">
        <v>7.0141830127904694E-3</v>
      </c>
    </row>
    <row r="337" spans="1:36" x14ac:dyDescent="0.35">
      <c r="A337" vm="686">
        <f ca="1"/>
        <v>45779</v>
      </c>
      <c r="B337" vm="687">
        <f ca="1"/>
        <v>114.5</v>
      </c>
      <c r="C337" s="4">
        <f t="shared" ca="1" si="26"/>
        <v>2.5893737120329725E-2</v>
      </c>
      <c r="D337" s="4">
        <f t="shared" ca="1" si="27"/>
        <v>2.5564171326670906E-2</v>
      </c>
      <c r="E337" s="8">
        <f t="shared" ca="1" si="28"/>
        <v>2.8900000000000006</v>
      </c>
      <c r="F337" s="8" vm="685">
        <f t="shared" ca="1" si="29"/>
        <v>111.61</v>
      </c>
      <c r="AC337">
        <v>335</v>
      </c>
      <c r="AD337" s="4">
        <v>2.8298704362216327E-2</v>
      </c>
      <c r="AF337">
        <v>335</v>
      </c>
      <c r="AG337" s="4">
        <v>6.7333746694937194E-3</v>
      </c>
      <c r="AI337">
        <v>335</v>
      </c>
      <c r="AJ337" s="4">
        <v>6.9855666656894085E-3</v>
      </c>
    </row>
    <row r="338" spans="1:36" x14ac:dyDescent="0.35">
      <c r="A338" vm="688">
        <f ca="1"/>
        <v>45782</v>
      </c>
      <c r="B338" vm="689">
        <f ca="1"/>
        <v>113.82</v>
      </c>
      <c r="C338" s="4">
        <f t="shared" ca="1" si="26"/>
        <v>-5.9388646288210199E-3</v>
      </c>
      <c r="D338" s="4">
        <f t="shared" ca="1" si="27"/>
        <v>-5.9565698193165236E-3</v>
      </c>
      <c r="E338" s="8">
        <f t="shared" ca="1" si="28"/>
        <v>-0.68000000000000682</v>
      </c>
      <c r="F338" s="8" vm="687">
        <f t="shared" ca="1" si="29"/>
        <v>114.5</v>
      </c>
      <c r="AC338">
        <v>336</v>
      </c>
      <c r="AD338" s="4">
        <v>0.11165839088521297</v>
      </c>
      <c r="AF338">
        <v>336</v>
      </c>
      <c r="AG338" s="4">
        <v>6.6834111042925366E-3</v>
      </c>
      <c r="AI338">
        <v>336</v>
      </c>
      <c r="AJ338" s="4">
        <v>5.733411915449297E-3</v>
      </c>
    </row>
    <row r="339" spans="1:36" x14ac:dyDescent="0.35">
      <c r="A339" vm="690">
        <f ca="1"/>
        <v>45783</v>
      </c>
      <c r="B339" vm="691">
        <f ca="1"/>
        <v>113.54</v>
      </c>
      <c r="C339" s="4">
        <f t="shared" ca="1" si="26"/>
        <v>-2.4600246002458876E-3</v>
      </c>
      <c r="D339" s="4">
        <f t="shared" ca="1" si="27"/>
        <v>-2.4630554323975258E-3</v>
      </c>
      <c r="E339" s="8">
        <f t="shared" ca="1" si="28"/>
        <v>-0.27999999999998693</v>
      </c>
      <c r="F339" s="8" vm="689">
        <f t="shared" ca="1" si="29"/>
        <v>113.82</v>
      </c>
      <c r="AC339">
        <v>337</v>
      </c>
      <c r="AD339" s="4">
        <v>2.6563134546190349E-2</v>
      </c>
      <c r="AF339">
        <v>337</v>
      </c>
      <c r="AG339" s="4">
        <v>6.831850699937767E-3</v>
      </c>
      <c r="AI339">
        <v>337</v>
      </c>
      <c r="AJ339" s="4">
        <v>7.7787086811531257E-3</v>
      </c>
    </row>
    <row r="340" spans="1:36" x14ac:dyDescent="0.35">
      <c r="A340" vm="692">
        <f ca="1"/>
        <v>45784</v>
      </c>
      <c r="B340" vm="693">
        <f ca="1"/>
        <v>117.06</v>
      </c>
      <c r="C340" s="4">
        <f t="shared" ca="1" si="26"/>
        <v>3.1002289941870671E-2</v>
      </c>
      <c r="D340" s="4">
        <f t="shared" ca="1" si="27"/>
        <v>3.0531426120494677E-2</v>
      </c>
      <c r="E340" s="8">
        <f t="shared" ca="1" si="28"/>
        <v>3.519999999999996</v>
      </c>
      <c r="F340" s="8" vm="691">
        <f t="shared" ca="1" si="29"/>
        <v>113.54</v>
      </c>
      <c r="AC340">
        <v>338</v>
      </c>
      <c r="AD340" s="4">
        <v>4.5753235929083702E-2</v>
      </c>
      <c r="AF340">
        <v>338</v>
      </c>
      <c r="AG340" s="4">
        <v>6.8393614069460146E-3</v>
      </c>
      <c r="AI340">
        <v>338</v>
      </c>
      <c r="AJ340" s="4">
        <v>7.7290584851616171E-3</v>
      </c>
    </row>
    <row r="341" spans="1:36" x14ac:dyDescent="0.35">
      <c r="A341" vm="694">
        <f ca="1"/>
        <v>45785</v>
      </c>
      <c r="B341" vm="695">
        <f ca="1"/>
        <v>117.37</v>
      </c>
      <c r="C341" s="4">
        <f t="shared" ca="1" si="26"/>
        <v>2.6482145908081518E-3</v>
      </c>
      <c r="D341" s="4">
        <f t="shared" ca="1" si="27"/>
        <v>2.6447142489577835E-3</v>
      </c>
      <c r="E341" s="8">
        <f t="shared" ca="1" si="28"/>
        <v>0.31000000000000227</v>
      </c>
      <c r="F341" s="8" vm="693">
        <f t="shared" ca="1" si="29"/>
        <v>117.06</v>
      </c>
      <c r="AC341">
        <v>339</v>
      </c>
      <c r="AD341" s="4">
        <v>0.1503347295165828</v>
      </c>
      <c r="AF341">
        <v>339</v>
      </c>
      <c r="AG341" s="4">
        <v>6.8032967279306553E-3</v>
      </c>
      <c r="AI341">
        <v>339</v>
      </c>
      <c r="AJ341" s="4">
        <v>7.09488104698791E-3</v>
      </c>
    </row>
    <row r="342" spans="1:36" x14ac:dyDescent="0.35">
      <c r="A342" vm="696">
        <f ca="1"/>
        <v>45786</v>
      </c>
      <c r="B342" vm="697">
        <f ca="1"/>
        <v>116.65</v>
      </c>
      <c r="C342" s="4">
        <f t="shared" ca="1" si="26"/>
        <v>-6.1344466217943157E-3</v>
      </c>
      <c r="D342" s="4">
        <f t="shared" ca="1" si="27"/>
        <v>-6.153339644593539E-3</v>
      </c>
      <c r="E342" s="8">
        <f t="shared" ca="1" si="28"/>
        <v>-0.71999999999999886</v>
      </c>
      <c r="F342" s="8" vm="695">
        <f t="shared" ca="1" si="29"/>
        <v>117.37</v>
      </c>
      <c r="AC342">
        <v>340</v>
      </c>
      <c r="AD342" s="4">
        <v>0.15116214883961696</v>
      </c>
      <c r="AF342">
        <v>340</v>
      </c>
      <c r="AG342" s="4">
        <v>6.8490879356576219E-3</v>
      </c>
      <c r="AI342">
        <v>340</v>
      </c>
      <c r="AJ342" s="4">
        <v>6.9574681281278838E-3</v>
      </c>
    </row>
    <row r="343" spans="1:36" x14ac:dyDescent="0.35">
      <c r="A343" vm="698">
        <f ca="1"/>
        <v>45789</v>
      </c>
      <c r="B343" vm="699">
        <f ca="1"/>
        <v>123</v>
      </c>
      <c r="C343" s="4">
        <f t="shared" ca="1" si="26"/>
        <v>5.4436348049721341E-2</v>
      </c>
      <c r="D343" s="4">
        <f t="shared" ca="1" si="27"/>
        <v>5.3006356904978548E-2</v>
      </c>
      <c r="E343" s="8">
        <f t="shared" ca="1" si="28"/>
        <v>6.3499999999999943</v>
      </c>
      <c r="F343" s="8" vm="697">
        <f t="shared" ca="1" si="29"/>
        <v>116.65</v>
      </c>
      <c r="AC343">
        <v>341</v>
      </c>
      <c r="AD343" s="4">
        <v>3.8170252556861295E-2</v>
      </c>
      <c r="AF343">
        <v>341</v>
      </c>
      <c r="AG343" s="4">
        <v>6.7863243162651996E-3</v>
      </c>
      <c r="AI343">
        <v>341</v>
      </c>
      <c r="AJ343" s="4">
        <v>6.4064567438972845E-3</v>
      </c>
    </row>
    <row r="344" spans="1:36" x14ac:dyDescent="0.35">
      <c r="A344" vm="700">
        <f ca="1"/>
        <v>45790</v>
      </c>
      <c r="B344" vm="701">
        <f ca="1"/>
        <v>129.93</v>
      </c>
      <c r="C344" s="4">
        <f t="shared" ca="1" si="26"/>
        <v>5.6341463414634203E-2</v>
      </c>
      <c r="D344" s="4">
        <f t="shared" ca="1" si="27"/>
        <v>5.4811488522227544E-2</v>
      </c>
      <c r="E344" s="8">
        <f t="shared" ca="1" si="28"/>
        <v>6.9300000000000068</v>
      </c>
      <c r="F344" s="8" vm="699">
        <f t="shared" ca="1" si="29"/>
        <v>123</v>
      </c>
      <c r="AC344">
        <v>342</v>
      </c>
      <c r="AD344" s="4">
        <v>5.2538366709358353E-2</v>
      </c>
      <c r="AF344">
        <v>342</v>
      </c>
      <c r="AG344" s="4">
        <v>6.8839365089706775E-3</v>
      </c>
      <c r="AI344">
        <v>342</v>
      </c>
      <c r="AJ344" s="4">
        <v>8.2074774971218189E-3</v>
      </c>
    </row>
    <row r="345" spans="1:36" x14ac:dyDescent="0.35">
      <c r="A345" vm="702">
        <f ca="1"/>
        <v>45791</v>
      </c>
      <c r="B345" vm="481">
        <f ca="1"/>
        <v>135.34</v>
      </c>
      <c r="C345" s="4">
        <f t="shared" ca="1" si="26"/>
        <v>4.1637804971907923E-2</v>
      </c>
      <c r="D345" s="4">
        <f t="shared" ca="1" si="27"/>
        <v>4.079428690943445E-2</v>
      </c>
      <c r="E345" s="8">
        <f t="shared" ca="1" si="28"/>
        <v>5.4099999999999966</v>
      </c>
      <c r="F345" s="8" vm="701">
        <f t="shared" ca="1" si="29"/>
        <v>129.93</v>
      </c>
      <c r="AC345">
        <v>343</v>
      </c>
      <c r="AD345" s="4">
        <v>5.054529257796022E-2</v>
      </c>
      <c r="AF345">
        <v>343</v>
      </c>
      <c r="AG345" s="4">
        <v>6.7820698428082771E-3</v>
      </c>
      <c r="AI345">
        <v>343</v>
      </c>
      <c r="AJ345" s="4">
        <v>8.323582243078843E-3</v>
      </c>
    </row>
    <row r="346" spans="1:36" x14ac:dyDescent="0.35">
      <c r="A346" vm="703">
        <f ca="1"/>
        <v>45792</v>
      </c>
      <c r="B346" vm="704">
        <f ca="1"/>
        <v>134.83000000000001</v>
      </c>
      <c r="C346" s="4">
        <f t="shared" ca="1" si="26"/>
        <v>-3.7682872764887758E-3</v>
      </c>
      <c r="D346" s="4">
        <f t="shared" ca="1" si="27"/>
        <v>-3.7754051580962109E-3</v>
      </c>
      <c r="E346" s="8">
        <f t="shared" ca="1" si="28"/>
        <v>-0.50999999999999091</v>
      </c>
      <c r="F346" s="8" vm="481">
        <f t="shared" ca="1" si="29"/>
        <v>135.34</v>
      </c>
      <c r="AC346">
        <v>344</v>
      </c>
      <c r="AD346" s="4">
        <v>0.10892928585343364</v>
      </c>
      <c r="AF346">
        <v>344</v>
      </c>
      <c r="AG346" s="4">
        <v>6.7594857727430796E-3</v>
      </c>
      <c r="AI346">
        <v>344</v>
      </c>
      <c r="AJ346" s="4">
        <v>6.8238867194666481E-3</v>
      </c>
    </row>
    <row r="347" spans="1:36" x14ac:dyDescent="0.35">
      <c r="A347" vm="705">
        <f ca="1"/>
        <v>45793</v>
      </c>
      <c r="B347" vm="445">
        <f ca="1"/>
        <v>135.4</v>
      </c>
      <c r="C347" s="4">
        <f t="shared" ca="1" si="26"/>
        <v>4.2275457984127648E-3</v>
      </c>
      <c r="D347" s="4">
        <f t="shared" ca="1" si="27"/>
        <v>4.2186348321912601E-3</v>
      </c>
      <c r="E347" s="8">
        <f t="shared" ca="1" si="28"/>
        <v>0.56999999999999318</v>
      </c>
      <c r="F347" s="8" vm="704">
        <f t="shared" ca="1" si="29"/>
        <v>134.83000000000001</v>
      </c>
      <c r="AC347">
        <v>345</v>
      </c>
      <c r="AD347" s="4">
        <v>0.14871709334183497</v>
      </c>
      <c r="AF347">
        <v>345</v>
      </c>
      <c r="AG347" s="4">
        <v>6.7790545333142717E-3</v>
      </c>
      <c r="AI347">
        <v>345</v>
      </c>
      <c r="AJ347" s="4">
        <v>7.0752564124622695E-3</v>
      </c>
    </row>
    <row r="348" spans="1:36" x14ac:dyDescent="0.35">
      <c r="A348" vm="706">
        <f ca="1"/>
        <v>45796</v>
      </c>
      <c r="B348" vm="707">
        <f ca="1"/>
        <v>135.57</v>
      </c>
      <c r="C348" s="4">
        <f t="shared" ca="1" si="26"/>
        <v>1.2555391432790804E-3</v>
      </c>
      <c r="D348" s="4">
        <f t="shared" ca="1" si="27"/>
        <v>1.2547516131233539E-3</v>
      </c>
      <c r="E348" s="8">
        <f t="shared" ca="1" si="28"/>
        <v>0.16999999999998749</v>
      </c>
      <c r="F348" s="8" vm="445">
        <f t="shared" ca="1" si="29"/>
        <v>135.4</v>
      </c>
      <c r="AC348">
        <v>346</v>
      </c>
      <c r="AD348" s="4">
        <v>3.4603009717854551E-2</v>
      </c>
      <c r="AF348">
        <v>346</v>
      </c>
      <c r="AG348" s="4">
        <v>6.7831774969231099E-3</v>
      </c>
      <c r="AI348">
        <v>346</v>
      </c>
      <c r="AJ348" s="4">
        <v>6.6366824309879386E-3</v>
      </c>
    </row>
    <row r="349" spans="1:36" x14ac:dyDescent="0.35">
      <c r="A349" vm="708">
        <f ca="1"/>
        <v>45797</v>
      </c>
      <c r="B349" vm="709">
        <f ca="1"/>
        <v>134.38</v>
      </c>
      <c r="C349" s="4">
        <f t="shared" ca="1" si="26"/>
        <v>-8.7777531902338106E-3</v>
      </c>
      <c r="D349" s="4">
        <f t="shared" ca="1" si="27"/>
        <v>-8.8165045992940425E-3</v>
      </c>
      <c r="E349" s="8">
        <f t="shared" ca="1" si="28"/>
        <v>-1.1899999999999977</v>
      </c>
      <c r="F349" s="8" vm="707">
        <f t="shared" ca="1" si="29"/>
        <v>135.57</v>
      </c>
      <c r="AC349">
        <v>347</v>
      </c>
      <c r="AD349" s="4">
        <v>6.6502782926176715E-2</v>
      </c>
      <c r="AF349">
        <v>347</v>
      </c>
      <c r="AG349" s="4">
        <v>6.8313689947398469E-3</v>
      </c>
      <c r="AI349">
        <v>347</v>
      </c>
      <c r="AJ349" s="4">
        <v>7.0087557458889367E-3</v>
      </c>
    </row>
    <row r="350" spans="1:36" x14ac:dyDescent="0.35">
      <c r="A350" vm="710">
        <f ca="1"/>
        <v>45798</v>
      </c>
      <c r="B350" vm="711">
        <f ca="1"/>
        <v>131.80000000000001</v>
      </c>
      <c r="C350" s="4">
        <f t="shared" ca="1" si="26"/>
        <v>-1.9199285607977259E-2</v>
      </c>
      <c r="D350" s="4">
        <f t="shared" ca="1" si="27"/>
        <v>-1.9385985423596916E-2</v>
      </c>
      <c r="E350" s="8">
        <f t="shared" ca="1" si="28"/>
        <v>-2.5799999999999841</v>
      </c>
      <c r="F350" s="8" vm="709">
        <f t="shared" ca="1" si="29"/>
        <v>134.38</v>
      </c>
      <c r="AC350">
        <v>348</v>
      </c>
      <c r="AD350" s="4">
        <v>0.1197149188259921</v>
      </c>
      <c r="AF350">
        <v>348</v>
      </c>
      <c r="AG350" s="4">
        <v>6.7390152069465919E-3</v>
      </c>
      <c r="AI350">
        <v>348</v>
      </c>
      <c r="AJ350" s="4">
        <v>6.9221815646912229E-3</v>
      </c>
    </row>
    <row r="351" spans="1:36" x14ac:dyDescent="0.35">
      <c r="A351" vm="712">
        <f ca="1"/>
        <v>45799</v>
      </c>
      <c r="B351" vm="713">
        <f ca="1"/>
        <v>132.83000000000001</v>
      </c>
      <c r="C351" s="4">
        <f t="shared" ca="1" si="26"/>
        <v>7.8148710166919648E-3</v>
      </c>
      <c r="D351" s="4">
        <f t="shared" ca="1" si="27"/>
        <v>7.7844930760050191E-3</v>
      </c>
      <c r="E351" s="8">
        <f t="shared" ca="1" si="28"/>
        <v>1.0300000000000011</v>
      </c>
      <c r="F351" s="8" vm="711">
        <f t="shared" ca="1" si="29"/>
        <v>131.80000000000001</v>
      </c>
      <c r="AC351">
        <v>349</v>
      </c>
      <c r="AD351" s="4">
        <v>0.1015816557004449</v>
      </c>
      <c r="AF351">
        <v>349</v>
      </c>
      <c r="AG351" s="4">
        <v>6.8259059917212114E-3</v>
      </c>
      <c r="AI351">
        <v>349</v>
      </c>
      <c r="AJ351" s="4">
        <v>6.4942263333357059E-3</v>
      </c>
    </row>
    <row r="352" spans="1:36" x14ac:dyDescent="0.35">
      <c r="A352" vm="714">
        <f ca="1"/>
        <v>45800</v>
      </c>
      <c r="B352" vm="715">
        <f ca="1"/>
        <v>131.29</v>
      </c>
      <c r="C352" s="4">
        <f t="shared" ca="1" si="26"/>
        <v>-1.1593766468418433E-2</v>
      </c>
      <c r="D352" s="4">
        <f t="shared" ca="1" si="27"/>
        <v>-1.1661498198393161E-2</v>
      </c>
      <c r="E352" s="8">
        <f t="shared" ca="1" si="28"/>
        <v>-1.5400000000000205</v>
      </c>
      <c r="F352" s="8" vm="713">
        <f t="shared" ca="1" si="29"/>
        <v>132.83000000000001</v>
      </c>
      <c r="AC352">
        <v>350</v>
      </c>
      <c r="AD352" s="4">
        <v>3.255853113141461E-2</v>
      </c>
      <c r="AF352">
        <v>350</v>
      </c>
      <c r="AG352" s="4">
        <v>6.7879855813756254E-3</v>
      </c>
      <c r="AI352">
        <v>350</v>
      </c>
      <c r="AJ352" s="4">
        <v>6.3589214340548155E-3</v>
      </c>
    </row>
    <row r="353" spans="1:36" x14ac:dyDescent="0.35">
      <c r="A353" vm="716">
        <f ca="1"/>
        <v>45804</v>
      </c>
      <c r="B353" vm="717">
        <f ca="1"/>
        <v>135.5</v>
      </c>
      <c r="C353" s="4">
        <f t="shared" ca="1" si="26"/>
        <v>3.2066417853606581E-2</v>
      </c>
      <c r="D353" s="4">
        <f t="shared" ca="1" si="27"/>
        <v>3.1563023373736614E-2</v>
      </c>
      <c r="E353" s="8">
        <f t="shared" ca="1" si="28"/>
        <v>4.210000000000008</v>
      </c>
      <c r="F353" s="8" vm="715">
        <f t="shared" ca="1" si="29"/>
        <v>131.29</v>
      </c>
      <c r="AC353">
        <v>351</v>
      </c>
      <c r="AD353" s="4">
        <v>4.7706722199892124E-2</v>
      </c>
      <c r="AF353">
        <v>351</v>
      </c>
      <c r="AG353" s="4">
        <v>6.8051882062255984E-3</v>
      </c>
      <c r="AI353">
        <v>351</v>
      </c>
      <c r="AJ353" s="4">
        <v>7.5695882156415562E-3</v>
      </c>
    </row>
    <row r="354" spans="1:36" x14ac:dyDescent="0.35">
      <c r="A354" vm="718">
        <f ca="1"/>
        <v>45805</v>
      </c>
      <c r="B354" vm="413">
        <f ca="1"/>
        <v>134.81</v>
      </c>
      <c r="C354" s="4">
        <f t="shared" ca="1" si="26"/>
        <v>-5.0922509225092083E-3</v>
      </c>
      <c r="D354" s="4">
        <f t="shared" ca="1" si="27"/>
        <v>-5.1052606167828691E-3</v>
      </c>
      <c r="E354" s="8">
        <f t="shared" ca="1" si="28"/>
        <v>-0.68999999999999773</v>
      </c>
      <c r="F354" s="8" vm="717">
        <f t="shared" ca="1" si="29"/>
        <v>135.5</v>
      </c>
      <c r="AC354">
        <v>352</v>
      </c>
      <c r="AD354" s="4">
        <v>4.0462454811051499E-2</v>
      </c>
      <c r="AF354">
        <v>352</v>
      </c>
      <c r="AG354" s="4">
        <v>6.8112086437489691E-3</v>
      </c>
      <c r="AI354">
        <v>352</v>
      </c>
      <c r="AJ354" s="4">
        <v>6.7406880626266511E-3</v>
      </c>
    </row>
    <row r="355" spans="1:36" x14ac:dyDescent="0.35">
      <c r="A355" vm="719">
        <f ca="1"/>
        <v>45806</v>
      </c>
      <c r="B355" vm="720">
        <f ca="1"/>
        <v>139.19</v>
      </c>
      <c r="C355" s="4">
        <f t="shared" ca="1" si="26"/>
        <v>3.2490171352273535E-2</v>
      </c>
      <c r="D355" s="4">
        <f t="shared" ca="1" si="27"/>
        <v>3.1973526536336512E-2</v>
      </c>
      <c r="E355" s="8">
        <f t="shared" ca="1" si="28"/>
        <v>4.3799999999999955</v>
      </c>
      <c r="F355" s="8" vm="413">
        <f t="shared" ca="1" si="29"/>
        <v>134.81</v>
      </c>
      <c r="AC355">
        <v>353</v>
      </c>
      <c r="AD355" s="4">
        <v>4.1122974431155659E-2</v>
      </c>
      <c r="AF355">
        <v>353</v>
      </c>
      <c r="AG355" s="4">
        <v>6.7836787556872554E-3</v>
      </c>
      <c r="AI355">
        <v>353</v>
      </c>
      <c r="AJ355" s="4">
        <v>7.1623054341031361E-3</v>
      </c>
    </row>
    <row r="356" spans="1:36" x14ac:dyDescent="0.35">
      <c r="A356" vm="721">
        <f ca="1"/>
        <v>45807</v>
      </c>
      <c r="B356" vm="722">
        <f ca="1"/>
        <v>135.13</v>
      </c>
      <c r="C356" s="4">
        <f t="shared" ca="1" si="26"/>
        <v>-2.9168762123715802E-2</v>
      </c>
      <c r="D356" s="4">
        <f t="shared" ca="1" si="27"/>
        <v>-2.9602628189314469E-2</v>
      </c>
      <c r="E356" s="8">
        <f t="shared" ca="1" si="28"/>
        <v>-4.0600000000000023</v>
      </c>
      <c r="F356" s="8" vm="720">
        <f t="shared" ca="1" si="29"/>
        <v>139.19</v>
      </c>
      <c r="AC356">
        <v>354</v>
      </c>
      <c r="AD356" s="4">
        <v>2.6687002761231475E-2</v>
      </c>
      <c r="AF356">
        <v>354</v>
      </c>
      <c r="AG356" s="4">
        <v>6.7656220247063878E-3</v>
      </c>
      <c r="AI356">
        <v>354</v>
      </c>
      <c r="AJ356" s="4">
        <v>6.937093490948263E-3</v>
      </c>
    </row>
    <row r="357" spans="1:36" x14ac:dyDescent="0.35">
      <c r="A357" vm="723">
        <f ca="1"/>
        <v>45810</v>
      </c>
      <c r="B357" vm="724">
        <f ca="1"/>
        <v>137.38</v>
      </c>
      <c r="C357" s="4">
        <f t="shared" ca="1" si="26"/>
        <v>1.6650632724043515E-2</v>
      </c>
      <c r="D357" s="4">
        <f t="shared" ca="1" si="27"/>
        <v>1.6513530735740779E-2</v>
      </c>
      <c r="E357" s="8">
        <f t="shared" ca="1" si="28"/>
        <v>2.25</v>
      </c>
      <c r="F357" s="8" vm="722">
        <f t="shared" ca="1" si="29"/>
        <v>135.13</v>
      </c>
      <c r="AC357">
        <v>355</v>
      </c>
      <c r="AD357" s="4">
        <v>6.3606781108387633E-2</v>
      </c>
      <c r="AF357">
        <v>355</v>
      </c>
      <c r="AG357" s="4">
        <v>6.9774934415485065E-3</v>
      </c>
      <c r="AI357">
        <v>355</v>
      </c>
      <c r="AJ357" s="4">
        <v>6.2597444514168295E-3</v>
      </c>
    </row>
    <row r="358" spans="1:36" x14ac:dyDescent="0.35">
      <c r="A358" vm="725">
        <f ca="1"/>
        <v>45811</v>
      </c>
      <c r="B358" vm="726">
        <f ca="1"/>
        <v>141.22</v>
      </c>
      <c r="C358" s="4">
        <f t="shared" ca="1" si="26"/>
        <v>2.7951666909302689E-2</v>
      </c>
      <c r="D358" s="4">
        <f t="shared" ca="1" si="27"/>
        <v>2.7568149302465299E-2</v>
      </c>
      <c r="E358" s="8">
        <f t="shared" ca="1" si="28"/>
        <v>3.8400000000000034</v>
      </c>
      <c r="F358" s="8" vm="724">
        <f t="shared" ca="1" si="29"/>
        <v>137.38</v>
      </c>
      <c r="AC358">
        <v>356</v>
      </c>
      <c r="AD358" s="4">
        <v>4.5797097630962812E-2</v>
      </c>
      <c r="AF358">
        <v>356</v>
      </c>
      <c r="AG358" s="4">
        <v>6.778283066176824E-3</v>
      </c>
      <c r="AI358">
        <v>356</v>
      </c>
      <c r="AJ358" s="4">
        <v>9.1388002551498898E-3</v>
      </c>
    </row>
    <row r="359" spans="1:36" x14ac:dyDescent="0.35">
      <c r="A359" vm="727">
        <f ca="1"/>
        <v>45812</v>
      </c>
      <c r="B359" vm="728">
        <f ca="1"/>
        <v>141.91999999999999</v>
      </c>
      <c r="C359" s="4">
        <f t="shared" ca="1" si="26"/>
        <v>4.9568049851295044E-3</v>
      </c>
      <c r="D359" s="4">
        <f t="shared" ca="1" si="27"/>
        <v>4.9445604730683941E-3</v>
      </c>
      <c r="E359" s="8">
        <f t="shared" ca="1" si="28"/>
        <v>0.69999999999998863</v>
      </c>
      <c r="F359" s="8" vm="726">
        <f t="shared" ca="1" si="29"/>
        <v>141.22</v>
      </c>
      <c r="AC359">
        <v>357</v>
      </c>
      <c r="AD359" s="4">
        <v>0.1559551134521078</v>
      </c>
      <c r="AF359">
        <v>357</v>
      </c>
      <c r="AG359" s="4">
        <v>6.7933699522607473E-3</v>
      </c>
      <c r="AI359">
        <v>357</v>
      </c>
      <c r="AJ359" s="4">
        <v>5.7189077467351543E-3</v>
      </c>
    </row>
    <row r="360" spans="1:36" x14ac:dyDescent="0.35">
      <c r="A360" vm="729">
        <f ca="1"/>
        <v>45813</v>
      </c>
      <c r="B360" vm="730">
        <f ca="1"/>
        <v>139.99</v>
      </c>
      <c r="C360" s="4">
        <f t="shared" ca="1" si="26"/>
        <v>-1.3599210822998722E-2</v>
      </c>
      <c r="D360" s="4">
        <f t="shared" ca="1" si="27"/>
        <v>-1.3692527074535403E-2</v>
      </c>
      <c r="E360" s="8">
        <f t="shared" ca="1" si="28"/>
        <v>-1.9299999999999784</v>
      </c>
      <c r="F360" s="8" vm="728">
        <f t="shared" ca="1" si="29"/>
        <v>141.91999999999999</v>
      </c>
      <c r="AC360">
        <v>358</v>
      </c>
      <c r="AD360" s="4">
        <v>1.4541858704353561E-2</v>
      </c>
      <c r="AF360">
        <v>358</v>
      </c>
      <c r="AG360" s="4">
        <v>6.7867981003804593E-3</v>
      </c>
      <c r="AI360">
        <v>358</v>
      </c>
      <c r="AJ360" s="4">
        <v>7.5625784619091675E-3</v>
      </c>
    </row>
    <row r="361" spans="1:36" x14ac:dyDescent="0.35">
      <c r="A361" vm="731">
        <f ca="1"/>
        <v>45814</v>
      </c>
      <c r="B361" vm="732">
        <f ca="1"/>
        <v>141.72</v>
      </c>
      <c r="C361" s="4">
        <f t="shared" ca="1" si="26"/>
        <v>1.2358025573255159E-2</v>
      </c>
      <c r="D361" s="4">
        <f t="shared" ca="1" si="27"/>
        <v>1.228228851053734E-2</v>
      </c>
      <c r="E361" s="8">
        <f t="shared" ca="1" si="28"/>
        <v>1.7299999999999898</v>
      </c>
      <c r="F361" s="8" vm="730">
        <f t="shared" ca="1" si="29"/>
        <v>139.99</v>
      </c>
      <c r="AC361">
        <v>359</v>
      </c>
      <c r="AD361" s="4">
        <v>4.9414256837101253E-2</v>
      </c>
      <c r="AF361">
        <v>359</v>
      </c>
      <c r="AG361" s="4">
        <v>6.7102041953950317E-3</v>
      </c>
      <c r="AI361">
        <v>359</v>
      </c>
      <c r="AJ361" s="4">
        <v>7.7233542748303043E-3</v>
      </c>
    </row>
    <row r="362" spans="1:36" x14ac:dyDescent="0.35">
      <c r="A362" vm="733">
        <f ca="1"/>
        <v>45817</v>
      </c>
      <c r="B362" vm="734">
        <f ca="1"/>
        <v>142.63</v>
      </c>
      <c r="C362" s="4">
        <f t="shared" ca="1" si="26"/>
        <v>6.4211120519333661E-3</v>
      </c>
      <c r="D362" s="4">
        <f t="shared" ca="1" si="27"/>
        <v>6.4005845380595509E-3</v>
      </c>
      <c r="E362" s="8">
        <f t="shared" ca="1" si="28"/>
        <v>0.90999999999999659</v>
      </c>
      <c r="F362" s="8" vm="732">
        <f t="shared" ca="1" si="29"/>
        <v>141.72</v>
      </c>
      <c r="AC362">
        <v>360</v>
      </c>
      <c r="AD362" s="4">
        <v>2.5925725024948276E-2</v>
      </c>
      <c r="AF362">
        <v>360</v>
      </c>
      <c r="AG362" s="4">
        <v>6.8205313326520495E-3</v>
      </c>
      <c r="AI362">
        <v>360</v>
      </c>
      <c r="AJ362" s="4">
        <v>7.2192380156125219E-3</v>
      </c>
    </row>
    <row r="363" spans="1:36" x14ac:dyDescent="0.35">
      <c r="A363" vm="735">
        <f ca="1"/>
        <v>45818</v>
      </c>
      <c r="B363" vm="736">
        <f ca="1"/>
        <v>143.96</v>
      </c>
      <c r="C363" s="4">
        <f t="shared" ca="1" si="26"/>
        <v>9.3248264740938974E-3</v>
      </c>
      <c r="D363" s="4">
        <f t="shared" ca="1" si="27"/>
        <v>9.2816186754991897E-3</v>
      </c>
      <c r="E363" s="8">
        <f t="shared" ca="1" si="28"/>
        <v>1.3300000000000125</v>
      </c>
      <c r="F363" s="8" vm="734">
        <f t="shared" ca="1" si="29"/>
        <v>142.63</v>
      </c>
      <c r="AC363">
        <v>361</v>
      </c>
      <c r="AD363" s="4">
        <v>0.12610245081954669</v>
      </c>
      <c r="AF363">
        <v>361</v>
      </c>
      <c r="AG363" s="4">
        <v>6.7776900634459883E-3</v>
      </c>
      <c r="AI363">
        <v>361</v>
      </c>
      <c r="AJ363" s="4">
        <v>7.5983514263648225E-3</v>
      </c>
    </row>
    <row r="364" spans="1:36" x14ac:dyDescent="0.35">
      <c r="A364" vm="737">
        <f ca="1"/>
        <v>45819</v>
      </c>
      <c r="B364" vm="738">
        <f ca="1"/>
        <v>142.83000000000001</v>
      </c>
      <c r="C364" s="4">
        <f t="shared" ca="1" si="26"/>
        <v>-7.8494026118365885E-3</v>
      </c>
      <c r="D364" s="4">
        <f t="shared" ca="1" si="27"/>
        <v>-7.880371336292883E-3</v>
      </c>
      <c r="E364" s="8">
        <f t="shared" ca="1" si="28"/>
        <v>-1.1299999999999955</v>
      </c>
      <c r="F364" s="8" vm="736">
        <f t="shared" ca="1" si="29"/>
        <v>143.96</v>
      </c>
      <c r="AC364">
        <v>362</v>
      </c>
      <c r="AD364" s="4">
        <v>4.5719623478897825E-2</v>
      </c>
      <c r="AF364">
        <v>362</v>
      </c>
      <c r="AG364" s="4">
        <v>6.8148019179997436E-3</v>
      </c>
      <c r="AI364">
        <v>362</v>
      </c>
      <c r="AJ364" s="4">
        <v>5.9996023611988379E-3</v>
      </c>
    </row>
    <row r="365" spans="1:36" x14ac:dyDescent="0.35">
      <c r="A365" vm="739">
        <f ca="1"/>
        <v>45820</v>
      </c>
      <c r="B365" vm="740">
        <f ca="1"/>
        <v>145</v>
      </c>
      <c r="C365" s="4">
        <f t="shared" ca="1" si="26"/>
        <v>1.5192886648463119E-2</v>
      </c>
      <c r="D365" s="4">
        <f t="shared" ca="1" si="27"/>
        <v>1.5078630546037294E-2</v>
      </c>
      <c r="E365" s="8">
        <f t="shared" ca="1" si="28"/>
        <v>2.1699999999999875</v>
      </c>
      <c r="F365" s="8" vm="738">
        <f t="shared" ca="1" si="29"/>
        <v>142.83000000000001</v>
      </c>
      <c r="AC365">
        <v>363</v>
      </c>
      <c r="AD365" s="4">
        <v>8.4689275427436192E-2</v>
      </c>
      <c r="AF365">
        <v>363</v>
      </c>
      <c r="AG365" s="4">
        <v>6.7398287080229439E-3</v>
      </c>
      <c r="AI365">
        <v>363</v>
      </c>
      <c r="AJ365" s="4">
        <v>9.5357687186606761E-3</v>
      </c>
    </row>
    <row r="366" spans="1:36" x14ac:dyDescent="0.35">
      <c r="A366" vm="741">
        <f ca="1"/>
        <v>45821</v>
      </c>
      <c r="B366" vm="742">
        <f ca="1"/>
        <v>141.97</v>
      </c>
      <c r="C366" s="4">
        <f t="shared" ca="1" si="26"/>
        <v>-2.089655172413794E-2</v>
      </c>
      <c r="D366" s="4">
        <f t="shared" ca="1" si="27"/>
        <v>-2.1117974745091833E-2</v>
      </c>
      <c r="E366" s="8">
        <f t="shared" ca="1" si="28"/>
        <v>-3.0300000000000011</v>
      </c>
      <c r="F366" s="8" vm="740">
        <f t="shared" ca="1" si="29"/>
        <v>145</v>
      </c>
      <c r="AC366">
        <v>364</v>
      </c>
      <c r="AD366" s="4">
        <v>3.9144889302565503E-2</v>
      </c>
      <c r="AF366">
        <v>364</v>
      </c>
      <c r="AG366" s="4">
        <v>6.7015171940689785E-3</v>
      </c>
      <c r="AI366">
        <v>364</v>
      </c>
      <c r="AJ366" s="4">
        <v>5.5750160700033672E-3</v>
      </c>
    </row>
    <row r="367" spans="1:36" x14ac:dyDescent="0.35">
      <c r="A367" vm="743">
        <f ca="1"/>
        <v>45824</v>
      </c>
      <c r="B367" vm="744">
        <f ca="1"/>
        <v>144.69</v>
      </c>
      <c r="C367" s="4">
        <f t="shared" ca="1" si="26"/>
        <v>1.9158977248714508E-2</v>
      </c>
      <c r="D367" s="4">
        <f t="shared" ca="1" si="27"/>
        <v>1.8977755073507491E-2</v>
      </c>
      <c r="E367" s="8">
        <f t="shared" ca="1" si="28"/>
        <v>2.7199999999999989</v>
      </c>
      <c r="F367" s="8" vm="742">
        <f t="shared" ca="1" si="29"/>
        <v>141.97</v>
      </c>
      <c r="AC367">
        <v>365</v>
      </c>
      <c r="AD367" s="4">
        <v>5.5356529694151488E-2</v>
      </c>
      <c r="AF367">
        <v>365</v>
      </c>
      <c r="AG367" s="4">
        <v>6.7079499585101293E-3</v>
      </c>
      <c r="AI367">
        <v>365</v>
      </c>
      <c r="AJ367" s="4">
        <v>8.442101586098226E-3</v>
      </c>
    </row>
    <row r="368" spans="1:36" x14ac:dyDescent="0.35">
      <c r="A368" vm="745">
        <f ca="1"/>
        <v>45825</v>
      </c>
      <c r="B368" vm="746">
        <f ca="1"/>
        <v>144.12</v>
      </c>
      <c r="C368" s="4">
        <f t="shared" ca="1" si="26"/>
        <v>-3.9394567696454021E-3</v>
      </c>
      <c r="D368" s="4">
        <f t="shared" ca="1" si="27"/>
        <v>-3.9472368690976218E-3</v>
      </c>
      <c r="E368" s="8">
        <f t="shared" ca="1" si="28"/>
        <v>-0.56999999999999318</v>
      </c>
      <c r="F368" s="8" vm="744">
        <f t="shared" ca="1" si="29"/>
        <v>144.69</v>
      </c>
      <c r="AC368">
        <v>366</v>
      </c>
      <c r="AD368" s="4">
        <v>7.2232801926993995E-2</v>
      </c>
      <c r="AF368">
        <v>366</v>
      </c>
      <c r="AG368" s="4">
        <v>6.7839427825383677E-3</v>
      </c>
      <c r="AI368">
        <v>366</v>
      </c>
      <c r="AJ368" s="4">
        <v>6.8436377936382216E-3</v>
      </c>
    </row>
    <row r="369" spans="1:36" x14ac:dyDescent="0.35">
      <c r="A369" vm="747">
        <f ca="1"/>
        <v>45826</v>
      </c>
      <c r="B369" vm="748">
        <f ca="1"/>
        <v>145.47999999999999</v>
      </c>
      <c r="C369" s="4">
        <f t="shared" ca="1" si="26"/>
        <v>9.4365806272549632E-3</v>
      </c>
      <c r="D369" s="4">
        <f t="shared" ca="1" si="27"/>
        <v>9.3923342388956815E-3</v>
      </c>
      <c r="E369" s="8">
        <f t="shared" ca="1" si="28"/>
        <v>1.3599999999999852</v>
      </c>
      <c r="F369" s="8" vm="746">
        <f t="shared" ca="1" si="29"/>
        <v>144.12</v>
      </c>
      <c r="AC369">
        <v>367</v>
      </c>
      <c r="AD369" s="4">
        <v>8.7673240526147084E-2</v>
      </c>
      <c r="AF369">
        <v>367</v>
      </c>
      <c r="AG369" s="4">
        <v>6.8361428008562241E-3</v>
      </c>
      <c r="AI369">
        <v>367</v>
      </c>
      <c r="AJ369" s="4">
        <v>6.8322400096898946E-3</v>
      </c>
    </row>
    <row r="370" spans="1:36" x14ac:dyDescent="0.35">
      <c r="A370" vm="749">
        <f ca="1"/>
        <v>45828</v>
      </c>
      <c r="B370" vm="750">
        <f ca="1"/>
        <v>143.85</v>
      </c>
      <c r="C370" s="4">
        <f t="shared" ca="1" si="26"/>
        <v>-1.1204289249381327E-2</v>
      </c>
      <c r="D370" s="4">
        <f t="shared" ca="1" si="27"/>
        <v>-1.1267530121231335E-2</v>
      </c>
      <c r="E370" s="8">
        <f t="shared" ca="1" si="28"/>
        <v>-1.6299999999999955</v>
      </c>
      <c r="F370" s="8" vm="748">
        <f t="shared" ca="1" si="29"/>
        <v>145.47999999999999</v>
      </c>
      <c r="AC370">
        <v>368</v>
      </c>
      <c r="AD370" s="4">
        <v>8.2180433200408617E-2</v>
      </c>
      <c r="AF370">
        <v>368</v>
      </c>
      <c r="AG370" s="4">
        <v>6.8362778234417367E-3</v>
      </c>
      <c r="AI370">
        <v>368</v>
      </c>
      <c r="AJ370" s="4">
        <v>6.9750796816116433E-3</v>
      </c>
    </row>
    <row r="371" spans="1:36" x14ac:dyDescent="0.35">
      <c r="A371" vm="751">
        <f ca="1"/>
        <v>45831</v>
      </c>
      <c r="B371" vm="752">
        <f ca="1"/>
        <v>144.16999999999999</v>
      </c>
      <c r="C371" s="4">
        <f t="shared" ca="1" si="26"/>
        <v>2.2245394508167756E-3</v>
      </c>
      <c r="D371" s="4">
        <f t="shared" ca="1" si="27"/>
        <v>2.2220688262553491E-3</v>
      </c>
      <c r="E371" s="8">
        <f t="shared" ca="1" si="28"/>
        <v>0.31999999999999318</v>
      </c>
      <c r="F371" s="8" vm="750">
        <f t="shared" ca="1" si="29"/>
        <v>143.85</v>
      </c>
      <c r="AC371">
        <v>369</v>
      </c>
      <c r="AD371" s="4">
        <v>2.1989788966972221E-2</v>
      </c>
      <c r="AF371">
        <v>369</v>
      </c>
      <c r="AG371" s="4">
        <v>6.7402351480500226E-3</v>
      </c>
      <c r="AI371">
        <v>369</v>
      </c>
      <c r="AJ371" s="4">
        <v>7.8287307769377562E-3</v>
      </c>
    </row>
    <row r="372" spans="1:36" x14ac:dyDescent="0.35">
      <c r="A372" vm="753">
        <f ca="1"/>
        <v>45832</v>
      </c>
      <c r="B372" vm="754">
        <f ca="1"/>
        <v>147.9</v>
      </c>
      <c r="C372" s="4">
        <f t="shared" ca="1" si="26"/>
        <v>2.5872234167996243E-2</v>
      </c>
      <c r="D372" s="4">
        <f t="shared" ca="1" si="27"/>
        <v>2.5543210892941814E-2</v>
      </c>
      <c r="E372" s="8">
        <f t="shared" ca="1" si="28"/>
        <v>3.7300000000000182</v>
      </c>
      <c r="F372" s="8" vm="752">
        <f t="shared" ca="1" si="29"/>
        <v>144.16999999999999</v>
      </c>
      <c r="AC372">
        <v>370</v>
      </c>
      <c r="AD372" s="4">
        <v>9.4171892703967669E-2</v>
      </c>
      <c r="AF372">
        <v>370</v>
      </c>
      <c r="AG372" s="4">
        <v>6.6516284056278513E-3</v>
      </c>
      <c r="AI372">
        <v>370</v>
      </c>
      <c r="AJ372" s="4">
        <v>1.0112202984957337E-2</v>
      </c>
    </row>
    <row r="373" spans="1:36" x14ac:dyDescent="0.35">
      <c r="A373" vm="755">
        <f ca="1"/>
        <v>45833</v>
      </c>
      <c r="B373" vm="756">
        <f ca="1"/>
        <v>154.31</v>
      </c>
      <c r="C373" s="4">
        <f t="shared" ca="1" si="26"/>
        <v>4.3340094658553055E-2</v>
      </c>
      <c r="D373" s="4">
        <f t="shared" ca="1" si="27"/>
        <v>4.242719636635936E-2</v>
      </c>
      <c r="E373" s="8">
        <f t="shared" ca="1" si="28"/>
        <v>6.4099999999999966</v>
      </c>
      <c r="F373" s="8" vm="754">
        <f t="shared" ca="1" si="29"/>
        <v>147.9</v>
      </c>
      <c r="AC373">
        <v>371</v>
      </c>
      <c r="AD373" s="4">
        <v>4.9703709743364868E-2</v>
      </c>
      <c r="AF373">
        <v>371</v>
      </c>
      <c r="AG373" s="4">
        <v>6.8678120418117087E-3</v>
      </c>
      <c r="AI373">
        <v>371</v>
      </c>
      <c r="AJ373" s="4">
        <v>7.8501952932890379E-3</v>
      </c>
    </row>
    <row r="374" spans="1:36" x14ac:dyDescent="0.35">
      <c r="A374" vm="757">
        <f ca="1"/>
        <v>45834</v>
      </c>
      <c r="B374" vm="758">
        <f ca="1"/>
        <v>155.02000000000001</v>
      </c>
      <c r="C374" s="4">
        <f t="shared" ca="1" si="26"/>
        <v>4.6011276002851922E-3</v>
      </c>
      <c r="D374" s="4">
        <f t="shared" ca="1" si="27"/>
        <v>4.5905747702518936E-3</v>
      </c>
      <c r="E374" s="8">
        <f t="shared" ca="1" si="28"/>
        <v>0.71000000000000796</v>
      </c>
      <c r="F374" s="8" vm="756">
        <f t="shared" ca="1" si="29"/>
        <v>154.31</v>
      </c>
      <c r="AC374">
        <v>372</v>
      </c>
      <c r="AD374" s="4">
        <v>2.6205495605329421E-2</v>
      </c>
      <c r="AF374">
        <v>372</v>
      </c>
      <c r="AG374" s="4">
        <v>6.7736653645063625E-3</v>
      </c>
      <c r="AI374">
        <v>372</v>
      </c>
      <c r="AJ374" s="4">
        <v>7.4656889775332894E-3</v>
      </c>
    </row>
    <row r="375" spans="1:36" x14ac:dyDescent="0.35">
      <c r="A375" vm="759">
        <f ca="1"/>
        <v>45835</v>
      </c>
      <c r="B375" vm="760">
        <f ca="1"/>
        <v>157.75</v>
      </c>
      <c r="C375" s="4">
        <f t="shared" ca="1" si="26"/>
        <v>1.7610630886337179E-2</v>
      </c>
      <c r="D375" s="4">
        <f t="shared" ca="1" si="27"/>
        <v>1.7457360567957013E-2</v>
      </c>
      <c r="E375" s="8">
        <f t="shared" ca="1" si="28"/>
        <v>2.7299999999999898</v>
      </c>
      <c r="F375" s="8" vm="758">
        <f t="shared" ca="1" si="29"/>
        <v>155.02000000000001</v>
      </c>
      <c r="AC375">
        <v>373</v>
      </c>
      <c r="AD375" s="4">
        <v>7.6885385911309889E-2</v>
      </c>
      <c r="AF375">
        <v>373</v>
      </c>
      <c r="AG375" s="4">
        <v>6.782090000769311E-3</v>
      </c>
      <c r="AI375">
        <v>373</v>
      </c>
      <c r="AJ375" s="4">
        <v>7.9067159327238876E-3</v>
      </c>
    </row>
    <row r="376" spans="1:36" x14ac:dyDescent="0.35">
      <c r="A376" vm="761">
        <f ca="1"/>
        <v>45838</v>
      </c>
      <c r="B376" vm="762">
        <f ca="1"/>
        <v>157.99</v>
      </c>
      <c r="C376" s="4">
        <f t="shared" ca="1" si="26"/>
        <v>1.5213946117274744E-3</v>
      </c>
      <c r="D376" s="4">
        <f t="shared" ca="1" si="27"/>
        <v>1.5202384634350752E-3</v>
      </c>
      <c r="E376" s="8">
        <f t="shared" ca="1" si="28"/>
        <v>0.24000000000000909</v>
      </c>
      <c r="F376" s="8" vm="760">
        <f t="shared" ca="1" si="29"/>
        <v>157.75</v>
      </c>
      <c r="AC376">
        <v>374</v>
      </c>
      <c r="AD376" s="4">
        <v>2.4494007618306148E-2</v>
      </c>
      <c r="AF376">
        <v>374</v>
      </c>
      <c r="AG376" s="4">
        <v>6.8730462639068545E-3</v>
      </c>
      <c r="AI376">
        <v>374</v>
      </c>
      <c r="AJ376" s="4">
        <v>6.8772848627499548E-3</v>
      </c>
    </row>
    <row r="377" spans="1:36" x14ac:dyDescent="0.35">
      <c r="A377" vm="763">
        <f ca="1"/>
        <v>45839</v>
      </c>
      <c r="B377" vm="764">
        <f ca="1"/>
        <v>153.30000000000001</v>
      </c>
      <c r="C377" s="4">
        <f t="shared" ca="1" si="26"/>
        <v>-2.9685423128046062E-2</v>
      </c>
      <c r="D377" s="4">
        <f t="shared" ca="1" si="27"/>
        <v>-3.0134954006989227E-2</v>
      </c>
      <c r="E377" s="8">
        <f t="shared" ca="1" si="28"/>
        <v>-4.6899999999999977</v>
      </c>
      <c r="F377" s="8" vm="762">
        <f t="shared" ca="1" si="29"/>
        <v>157.99</v>
      </c>
      <c r="AC377">
        <v>375</v>
      </c>
      <c r="AD377" s="4">
        <v>4.8704344517624058E-2</v>
      </c>
      <c r="AF377">
        <v>375</v>
      </c>
      <c r="AG377" s="4">
        <v>6.7739810196984626E-3</v>
      </c>
      <c r="AI377">
        <v>375</v>
      </c>
      <c r="AJ377" s="4">
        <v>9.2747638935106666E-3</v>
      </c>
    </row>
    <row r="378" spans="1:36" x14ac:dyDescent="0.35">
      <c r="A378" vm="765">
        <f ca="1"/>
        <v>45840</v>
      </c>
      <c r="B378" vm="766">
        <f ca="1"/>
        <v>157.25</v>
      </c>
      <c r="C378" s="4">
        <f t="shared" ca="1" si="26"/>
        <v>2.5766470971950346E-2</v>
      </c>
      <c r="D378" s="4">
        <f t="shared" ca="1" si="27"/>
        <v>2.5440109702781329E-2</v>
      </c>
      <c r="E378" s="8">
        <f t="shared" ca="1" si="28"/>
        <v>3.9499999999999886</v>
      </c>
      <c r="F378" s="8" vm="764">
        <f t="shared" ca="1" si="29"/>
        <v>153.30000000000001</v>
      </c>
      <c r="AC378">
        <v>376</v>
      </c>
      <c r="AD378" s="4">
        <v>3.5484087189652472E-2</v>
      </c>
      <c r="AF378">
        <v>376</v>
      </c>
      <c r="AG378" s="4">
        <v>6.8140714544920686E-3</v>
      </c>
      <c r="AI378">
        <v>376</v>
      </c>
      <c r="AJ378" s="4">
        <v>6.5527380700123898E-3</v>
      </c>
    </row>
    <row r="379" spans="1:36" x14ac:dyDescent="0.35">
      <c r="A379" vm="767">
        <f ca="1"/>
        <v>45841</v>
      </c>
      <c r="B379" vm="768">
        <f ca="1"/>
        <v>159.34</v>
      </c>
      <c r="C379" s="4">
        <f t="shared" ca="1" si="26"/>
        <v>1.3290937996820372E-2</v>
      </c>
      <c r="D379" s="4">
        <f t="shared" ca="1" si="27"/>
        <v>1.3203388371670191E-2</v>
      </c>
      <c r="E379" s="8">
        <f t="shared" ca="1" si="28"/>
        <v>2.0900000000000034</v>
      </c>
      <c r="F379" s="8" vm="766">
        <f t="shared" ca="1" si="29"/>
        <v>157.25</v>
      </c>
      <c r="AC379">
        <v>377</v>
      </c>
      <c r="AD379" s="4">
        <v>3.0034223042857272E-2</v>
      </c>
      <c r="AF379">
        <v>377</v>
      </c>
      <c r="AG379" s="4">
        <v>6.7812141168010123E-3</v>
      </c>
      <c r="AI379">
        <v>377</v>
      </c>
      <c r="AJ379" s="4">
        <v>6.7438258823461694E-3</v>
      </c>
    </row>
    <row r="380" spans="1:36" x14ac:dyDescent="0.35">
      <c r="A380" vm="769">
        <f ca="1"/>
        <v>45845</v>
      </c>
      <c r="B380" vm="770">
        <f ca="1"/>
        <v>158.24</v>
      </c>
      <c r="C380" s="4">
        <f t="shared" ca="1" si="26"/>
        <v>-6.9034768419731036E-3</v>
      </c>
      <c r="D380" s="4">
        <f t="shared" ca="1" si="27"/>
        <v>-6.9274160778179843E-3</v>
      </c>
      <c r="E380" s="8">
        <f t="shared" ca="1" si="28"/>
        <v>-1.0999999999999943</v>
      </c>
      <c r="F380" s="8" vm="768">
        <f t="shared" ca="1" si="29"/>
        <v>159.34</v>
      </c>
      <c r="AC380">
        <v>378</v>
      </c>
      <c r="AD380" s="4">
        <v>6.0762840069052457E-2</v>
      </c>
      <c r="AF380">
        <v>378</v>
      </c>
      <c r="AG380" s="4">
        <v>6.9497330965109343E-3</v>
      </c>
      <c r="AI380">
        <v>378</v>
      </c>
      <c r="AJ380" s="4">
        <v>5.4939628069282619E-3</v>
      </c>
    </row>
    <row r="381" spans="1:36" x14ac:dyDescent="0.35">
      <c r="A381" vm="771">
        <f ca="1"/>
        <v>45846</v>
      </c>
      <c r="B381" vm="772">
        <f ca="1"/>
        <v>160</v>
      </c>
      <c r="C381" s="4">
        <f t="shared" ca="1" si="26"/>
        <v>1.1122345803842207E-2</v>
      </c>
      <c r="D381" s="4">
        <f t="shared" ca="1" si="27"/>
        <v>1.1060947359424976E-2</v>
      </c>
      <c r="E381" s="8">
        <f t="shared" ca="1" si="28"/>
        <v>1.7599999999999909</v>
      </c>
      <c r="F381" s="8" vm="770">
        <f t="shared" ca="1" si="29"/>
        <v>158.24</v>
      </c>
      <c r="AC381">
        <v>379</v>
      </c>
      <c r="AD381" s="4">
        <v>0.11159647054644131</v>
      </c>
      <c r="AF381">
        <v>379</v>
      </c>
      <c r="AG381" s="4">
        <v>6.8743780086263891E-3</v>
      </c>
      <c r="AI381">
        <v>379</v>
      </c>
      <c r="AJ381" s="4">
        <v>7.4159659892081972E-3</v>
      </c>
    </row>
    <row r="382" spans="1:36" x14ac:dyDescent="0.35">
      <c r="A382" vm="773">
        <f ca="1"/>
        <v>45847</v>
      </c>
      <c r="B382" vm="774">
        <f ca="1"/>
        <v>162.88</v>
      </c>
      <c r="C382" s="4">
        <f t="shared" ca="1" si="26"/>
        <v>1.7999999999999971E-2</v>
      </c>
      <c r="D382" s="4">
        <f t="shared" ca="1" si="27"/>
        <v>1.7839918128331016E-2</v>
      </c>
      <c r="E382" s="8">
        <f t="shared" ca="1" si="28"/>
        <v>2.8799999999999955</v>
      </c>
      <c r="F382" s="8" vm="772">
        <f t="shared" ca="1" si="29"/>
        <v>160</v>
      </c>
      <c r="AC382">
        <v>380</v>
      </c>
      <c r="AD382" s="4">
        <v>9.6189108524433742E-2</v>
      </c>
      <c r="AF382">
        <v>380</v>
      </c>
      <c r="AG382" s="4">
        <v>6.9395090769557655E-3</v>
      </c>
      <c r="AI382">
        <v>380</v>
      </c>
      <c r="AJ382" s="4">
        <v>8.3178527070693602E-3</v>
      </c>
    </row>
    <row r="383" spans="1:36" x14ac:dyDescent="0.35">
      <c r="A383" vm="775">
        <f ca="1"/>
        <v>45848</v>
      </c>
      <c r="B383" vm="776">
        <f ca="1"/>
        <v>164.1</v>
      </c>
      <c r="C383" s="4">
        <f t="shared" ca="1" si="26"/>
        <v>7.4901768172887951E-3</v>
      </c>
      <c r="D383" s="4">
        <f t="shared" ca="1" si="27"/>
        <v>7.462264733887297E-3</v>
      </c>
      <c r="E383" s="8">
        <f t="shared" ca="1" si="28"/>
        <v>1.2199999999999989</v>
      </c>
      <c r="F383" s="8" vm="774">
        <f t="shared" ca="1" si="29"/>
        <v>162.88</v>
      </c>
      <c r="AC383">
        <v>381</v>
      </c>
      <c r="AD383" s="4">
        <v>6.4671552147615163E-2</v>
      </c>
      <c r="AF383">
        <v>381</v>
      </c>
      <c r="AG383" s="4">
        <v>6.8146711158841577E-3</v>
      </c>
      <c r="AI383">
        <v>381</v>
      </c>
      <c r="AJ383" s="4">
        <v>7.6442650293985538E-3</v>
      </c>
    </row>
    <row r="384" spans="1:36" x14ac:dyDescent="0.35">
      <c r="A384" vm="777">
        <f ca="1"/>
        <v>45849</v>
      </c>
      <c r="B384" vm="778">
        <f ca="1"/>
        <v>164.92</v>
      </c>
      <c r="C384" s="4">
        <f t="shared" ca="1" si="26"/>
        <v>4.9969530773917928E-3</v>
      </c>
      <c r="D384" s="4">
        <f t="shared" ca="1" si="27"/>
        <v>4.9845097426541108E-3</v>
      </c>
      <c r="E384" s="8">
        <f t="shared" ca="1" si="28"/>
        <v>0.81999999999999318</v>
      </c>
      <c r="F384" s="8" vm="776">
        <f t="shared" ca="1" si="29"/>
        <v>164.1</v>
      </c>
      <c r="AC384">
        <v>382</v>
      </c>
      <c r="AD384" s="4">
        <v>3.8971505000092214E-2</v>
      </c>
      <c r="AF384">
        <v>382</v>
      </c>
      <c r="AG384" s="4">
        <v>6.8178668605411996E-3</v>
      </c>
      <c r="AI384">
        <v>382</v>
      </c>
      <c r="AJ384" s="4">
        <v>7.5347640875690937E-3</v>
      </c>
    </row>
    <row r="385" spans="1:36" x14ac:dyDescent="0.35">
      <c r="A385" vm="779">
        <f ca="1"/>
        <v>45852</v>
      </c>
      <c r="B385" vm="780">
        <f ca="1"/>
        <v>164.07</v>
      </c>
      <c r="C385" s="4">
        <f t="shared" ca="1" si="26"/>
        <v>-5.1540140674265966E-3</v>
      </c>
      <c r="D385" s="4">
        <f t="shared" ca="1" si="27"/>
        <v>-5.1673418119081264E-3</v>
      </c>
      <c r="E385" s="8">
        <f t="shared" ca="1" si="28"/>
        <v>-0.84999999999999432</v>
      </c>
      <c r="F385" s="8" vm="778">
        <f t="shared" ca="1" si="29"/>
        <v>164.92</v>
      </c>
      <c r="AC385">
        <v>383</v>
      </c>
      <c r="AD385" s="4">
        <v>6.9580856650673914E-2</v>
      </c>
      <c r="AF385">
        <v>383</v>
      </c>
      <c r="AG385" s="4">
        <v>6.7178073755708549E-3</v>
      </c>
      <c r="AI385">
        <v>383</v>
      </c>
      <c r="AJ385" s="4">
        <v>8.1036069822991372E-3</v>
      </c>
    </row>
    <row r="386" spans="1:36" x14ac:dyDescent="0.35">
      <c r="A386" vm="781">
        <f ca="1"/>
        <v>45853</v>
      </c>
      <c r="B386" vm="782">
        <f ca="1"/>
        <v>170.7</v>
      </c>
      <c r="C386" s="4">
        <f t="shared" ca="1" si="26"/>
        <v>4.0409581276284488E-2</v>
      </c>
      <c r="D386" s="4">
        <f t="shared" ca="1" si="27"/>
        <v>3.961446377360394E-2</v>
      </c>
      <c r="E386" s="8">
        <f t="shared" ca="1" si="28"/>
        <v>6.6299999999999955</v>
      </c>
      <c r="F386" s="8" vm="780">
        <f t="shared" ca="1" si="29"/>
        <v>164.07</v>
      </c>
      <c r="AC386">
        <v>384</v>
      </c>
      <c r="AD386" s="4">
        <v>7.4895993979998174E-2</v>
      </c>
      <c r="AF386">
        <v>384</v>
      </c>
      <c r="AG386" s="4">
        <v>6.7550127787141838E-3</v>
      </c>
      <c r="AI386">
        <v>384</v>
      </c>
      <c r="AJ386" s="4">
        <v>6.8567717586293072E-3</v>
      </c>
    </row>
    <row r="387" spans="1:36" x14ac:dyDescent="0.35">
      <c r="A387" vm="783">
        <f ca="1"/>
        <v>45854</v>
      </c>
      <c r="B387" vm="784">
        <f ca="1"/>
        <v>171.37</v>
      </c>
      <c r="C387" s="4">
        <f t="shared" ca="1" si="26"/>
        <v>3.9250146455771292E-3</v>
      </c>
      <c r="D387" s="4">
        <f t="shared" ca="1" si="27"/>
        <v>3.9173318723629844E-3</v>
      </c>
      <c r="E387" s="8">
        <f t="shared" ca="1" si="28"/>
        <v>0.67000000000001592</v>
      </c>
      <c r="F387" s="8" vm="782">
        <f t="shared" ca="1" si="29"/>
        <v>170.7</v>
      </c>
      <c r="AC387">
        <v>385</v>
      </c>
      <c r="AD387" s="4">
        <v>8.544557290364263E-2</v>
      </c>
      <c r="AF387">
        <v>385</v>
      </c>
      <c r="AG387" s="4">
        <v>6.7075341380617159E-3</v>
      </c>
      <c r="AI387">
        <v>385</v>
      </c>
      <c r="AJ387" s="4">
        <v>7.1732829910968665E-3</v>
      </c>
    </row>
    <row r="388" spans="1:36" x14ac:dyDescent="0.35">
      <c r="A388" vm="785">
        <f ca="1"/>
        <v>45855</v>
      </c>
      <c r="B388" vm="786">
        <f ca="1"/>
        <v>173</v>
      </c>
      <c r="C388" s="4">
        <f t="shared" ca="1" si="26"/>
        <v>9.5115831242340871E-3</v>
      </c>
      <c r="D388" s="4">
        <f t="shared" ca="1" si="27"/>
        <v>9.466632825021094E-3</v>
      </c>
      <c r="E388" s="8">
        <f t="shared" ca="1" si="28"/>
        <v>1.6299999999999955</v>
      </c>
      <c r="F388" s="8" vm="784">
        <f t="shared" ca="1" si="29"/>
        <v>171.37</v>
      </c>
      <c r="AC388">
        <v>386</v>
      </c>
      <c r="AD388" s="4">
        <v>0.11220475869536706</v>
      </c>
      <c r="AF388">
        <v>386</v>
      </c>
      <c r="AG388" s="4">
        <v>6.767889926630322E-3</v>
      </c>
      <c r="AI388">
        <v>386</v>
      </c>
      <c r="AJ388" s="4">
        <v>6.7209803985729842E-3</v>
      </c>
    </row>
    <row r="389" spans="1:36" x14ac:dyDescent="0.35">
      <c r="A389" vm="787">
        <f ca="1"/>
        <v>45856</v>
      </c>
      <c r="B389" vm="788">
        <f ca="1"/>
        <v>172.41</v>
      </c>
      <c r="C389" s="4">
        <f t="shared" ref="C389:C452" ca="1" si="30">IFERROR((B389-B388)/B388,C388)</f>
        <v>-3.4104046242774762E-3</v>
      </c>
      <c r="D389" s="4">
        <f t="shared" ref="D389:D452" ca="1" si="31">IFERROR(LN(B389/B388),D388)</f>
        <v>-3.416233310019081E-3</v>
      </c>
      <c r="E389" s="8">
        <f t="shared" ref="E389:E452" ca="1" si="32">IFERROR(B389-B388,0)</f>
        <v>-0.59000000000000341</v>
      </c>
      <c r="F389" s="8" vm="786">
        <f t="shared" ref="F389:F452" ca="1" si="33">IFERROR(B388,F388)</f>
        <v>173</v>
      </c>
      <c r="AC389">
        <v>387</v>
      </c>
      <c r="AD389" s="4">
        <v>8.3601831147096156E-2</v>
      </c>
      <c r="AF389">
        <v>387</v>
      </c>
      <c r="AG389" s="4">
        <v>6.7726977828733081E-3</v>
      </c>
      <c r="AI389">
        <v>387</v>
      </c>
      <c r="AJ389" s="4">
        <v>6.1637370913252216E-3</v>
      </c>
    </row>
    <row r="390" spans="1:36" x14ac:dyDescent="0.35">
      <c r="A390" vm="789">
        <f ca="1"/>
        <v>45859</v>
      </c>
      <c r="B390" vm="790">
        <f ca="1"/>
        <v>171.38</v>
      </c>
      <c r="C390" s="4">
        <f t="shared" ca="1" si="30"/>
        <v>-5.9741314308914863E-3</v>
      </c>
      <c r="D390" s="4">
        <f t="shared" ca="1" si="31"/>
        <v>-5.9920479467871594E-3</v>
      </c>
      <c r="E390" s="8">
        <f t="shared" ca="1" si="32"/>
        <v>-1.0300000000000011</v>
      </c>
      <c r="F390" s="8" vm="788">
        <f t="shared" ca="1" si="33"/>
        <v>172.41</v>
      </c>
      <c r="AC390">
        <v>388</v>
      </c>
      <c r="AD390" s="4">
        <v>1.7372140408546892E-2</v>
      </c>
      <c r="AF390">
        <v>388</v>
      </c>
      <c r="AG390" s="4">
        <v>6.7054109328634178E-3</v>
      </c>
      <c r="AI390">
        <v>388</v>
      </c>
      <c r="AJ390" s="4">
        <v>5.5605036847699799E-3</v>
      </c>
    </row>
    <row r="391" spans="1:36" x14ac:dyDescent="0.35">
      <c r="A391" vm="791">
        <f ca="1"/>
        <v>45860</v>
      </c>
      <c r="B391" vm="792">
        <f ca="1"/>
        <v>167.03</v>
      </c>
      <c r="C391" s="4">
        <f t="shared" ca="1" si="30"/>
        <v>-2.5382191620959241E-2</v>
      </c>
      <c r="D391" s="4">
        <f t="shared" ca="1" si="31"/>
        <v>-2.5709876239116483E-2</v>
      </c>
      <c r="E391" s="8">
        <f t="shared" ca="1" si="32"/>
        <v>-4.3499999999999943</v>
      </c>
      <c r="F391" s="8" vm="790">
        <f t="shared" ca="1" si="33"/>
        <v>171.38</v>
      </c>
      <c r="AC391">
        <v>389</v>
      </c>
      <c r="AD391" s="4">
        <v>3.0696482017955162E-2</v>
      </c>
      <c r="AF391">
        <v>389</v>
      </c>
      <c r="AG391" s="4">
        <v>6.798467022712684E-3</v>
      </c>
      <c r="AI391">
        <v>389</v>
      </c>
      <c r="AJ391" s="4">
        <v>7.6517049074337797E-3</v>
      </c>
    </row>
    <row r="392" spans="1:36" x14ac:dyDescent="0.35">
      <c r="A392" vm="793">
        <f ca="1"/>
        <v>45861</v>
      </c>
      <c r="B392" vm="794">
        <f ca="1"/>
        <v>170.78</v>
      </c>
      <c r="C392" s="4">
        <f t="shared" ca="1" si="30"/>
        <v>2.2451056696401843E-2</v>
      </c>
      <c r="D392" s="4">
        <f t="shared" ca="1" si="31"/>
        <v>2.2202741477603823E-2</v>
      </c>
      <c r="E392" s="8">
        <f t="shared" ca="1" si="32"/>
        <v>3.75</v>
      </c>
      <c r="F392" s="8" vm="792">
        <f t="shared" ca="1" si="33"/>
        <v>167.03</v>
      </c>
      <c r="AC392">
        <v>390</v>
      </c>
      <c r="AD392" s="4">
        <v>1.2528239315047245E-2</v>
      </c>
      <c r="AF392">
        <v>390</v>
      </c>
      <c r="AG392" s="4">
        <v>6.7218464197346672E-3</v>
      </c>
      <c r="AI392">
        <v>390</v>
      </c>
      <c r="AJ392" s="4">
        <v>7.1954430066150524E-3</v>
      </c>
    </row>
    <row r="393" spans="1:36" x14ac:dyDescent="0.35">
      <c r="A393" vm="795">
        <f ca="1"/>
        <v>45862</v>
      </c>
      <c r="B393" vm="796">
        <f ca="1"/>
        <v>173.74</v>
      </c>
      <c r="C393" s="4">
        <f t="shared" ca="1" si="30"/>
        <v>1.7332240309169737E-2</v>
      </c>
      <c r="D393" s="4">
        <f t="shared" ca="1" si="31"/>
        <v>1.718375035231447E-2</v>
      </c>
      <c r="E393" s="8">
        <f t="shared" ca="1" si="32"/>
        <v>2.960000000000008</v>
      </c>
      <c r="F393" s="8" vm="794">
        <f t="shared" ca="1" si="33"/>
        <v>170.78</v>
      </c>
      <c r="AC393">
        <v>391</v>
      </c>
      <c r="AD393" s="4">
        <v>3.9889821854493315E-2</v>
      </c>
      <c r="AF393">
        <v>391</v>
      </c>
      <c r="AG393" s="4">
        <v>6.7741199566973918E-3</v>
      </c>
      <c r="AI393">
        <v>391</v>
      </c>
      <c r="AJ393" s="4">
        <v>8.2501392124891947E-3</v>
      </c>
    </row>
    <row r="394" spans="1:36" x14ac:dyDescent="0.35">
      <c r="A394" vm="797">
        <f ca="1"/>
        <v>45863</v>
      </c>
      <c r="B394" vm="798">
        <f ca="1"/>
        <v>173.5</v>
      </c>
      <c r="C394" s="4">
        <f t="shared" ca="1" si="30"/>
        <v>-1.3813744675953096E-3</v>
      </c>
      <c r="D394" s="4">
        <f t="shared" ca="1" si="31"/>
        <v>-1.3823294448606579E-3</v>
      </c>
      <c r="E394" s="8">
        <f t="shared" ca="1" si="32"/>
        <v>-0.24000000000000909</v>
      </c>
      <c r="F394" s="8" vm="796">
        <f t="shared" ca="1" si="33"/>
        <v>173.74</v>
      </c>
      <c r="AC394">
        <v>392</v>
      </c>
      <c r="AD394" s="4">
        <v>2.2992840242806283E-2</v>
      </c>
      <c r="AF394">
        <v>392</v>
      </c>
      <c r="AG394" s="4">
        <v>6.746686169735833E-3</v>
      </c>
      <c r="AI394">
        <v>392</v>
      </c>
      <c r="AJ394" s="4">
        <v>6.7785811306269482E-3</v>
      </c>
    </row>
    <row r="395" spans="1:36" x14ac:dyDescent="0.35">
      <c r="A395" vm="799">
        <f ca="1"/>
        <v>45866</v>
      </c>
      <c r="B395" vm="800">
        <f ca="1"/>
        <v>176.75</v>
      </c>
      <c r="C395" s="4">
        <f t="shared" ca="1" si="30"/>
        <v>1.8731988472622477E-2</v>
      </c>
      <c r="D395" s="4">
        <f t="shared" ca="1" si="31"/>
        <v>1.8558705389768251E-2</v>
      </c>
      <c r="E395" s="8">
        <f t="shared" ca="1" si="32"/>
        <v>3.25</v>
      </c>
      <c r="F395" s="8" vm="798">
        <f t="shared" ca="1" si="33"/>
        <v>173.5</v>
      </c>
      <c r="AC395">
        <v>393</v>
      </c>
      <c r="AD395" s="4">
        <v>3.0364119770389896E-2</v>
      </c>
      <c r="AF395">
        <v>393</v>
      </c>
      <c r="AG395" s="4">
        <v>6.7972385185064788E-3</v>
      </c>
      <c r="AI395">
        <v>393</v>
      </c>
      <c r="AJ395" s="4">
        <v>7.821131530889076E-3</v>
      </c>
    </row>
    <row r="396" spans="1:36" x14ac:dyDescent="0.35">
      <c r="A396" vm="801">
        <f ca="1"/>
        <v>45867</v>
      </c>
      <c r="B396" vm="802">
        <f ca="1"/>
        <v>175.51</v>
      </c>
      <c r="C396" s="4">
        <f t="shared" ca="1" si="30"/>
        <v>-7.0155586987270674E-3</v>
      </c>
      <c r="D396" s="4">
        <f t="shared" ca="1" si="31"/>
        <v>-7.0402834370834003E-3</v>
      </c>
      <c r="E396" s="8">
        <f t="shared" ca="1" si="32"/>
        <v>-1.2400000000000091</v>
      </c>
      <c r="F396" s="8" vm="800">
        <f t="shared" ca="1" si="33"/>
        <v>176.75</v>
      </c>
      <c r="AC396">
        <v>394</v>
      </c>
      <c r="AD396" s="4">
        <v>2.6520593849368484E-2</v>
      </c>
      <c r="AF396">
        <v>394</v>
      </c>
      <c r="AG396" s="4">
        <v>6.7001001977540827E-3</v>
      </c>
      <c r="AI396">
        <v>394</v>
      </c>
      <c r="AJ396" s="4">
        <v>6.1877903125167142E-3</v>
      </c>
    </row>
    <row r="397" spans="1:36" x14ac:dyDescent="0.35">
      <c r="A397" vm="803">
        <f ca="1"/>
        <v>45868</v>
      </c>
      <c r="B397" vm="804">
        <f ca="1"/>
        <v>179.27</v>
      </c>
      <c r="C397" s="4">
        <f t="shared" ca="1" si="30"/>
        <v>2.1423280724745138E-2</v>
      </c>
      <c r="D397" s="4">
        <f t="shared" ca="1" si="31"/>
        <v>2.119702792714857E-2</v>
      </c>
      <c r="E397" s="8">
        <f t="shared" ca="1" si="32"/>
        <v>3.7600000000000193</v>
      </c>
      <c r="F397" s="8" vm="802">
        <f t="shared" ca="1" si="33"/>
        <v>175.51</v>
      </c>
      <c r="AC397">
        <v>395</v>
      </c>
      <c r="AD397" s="4">
        <v>6.1767926525657504E-2</v>
      </c>
      <c r="AF397">
        <v>395</v>
      </c>
      <c r="AG397" s="4">
        <v>6.7691187992941068E-3</v>
      </c>
      <c r="AI397">
        <v>395</v>
      </c>
      <c r="AJ397" s="4">
        <v>7.4076950478243952E-3</v>
      </c>
    </row>
    <row r="398" spans="1:36" x14ac:dyDescent="0.35">
      <c r="A398" vm="805">
        <f ca="1"/>
        <v>45869</v>
      </c>
      <c r="B398" vm="806">
        <f ca="1"/>
        <v>177.87</v>
      </c>
      <c r="C398" s="4">
        <f t="shared" ca="1" si="30"/>
        <v>-7.8094494338149471E-3</v>
      </c>
      <c r="D398" s="4">
        <f t="shared" ca="1" si="31"/>
        <v>-7.8401028793611393E-3</v>
      </c>
      <c r="E398" s="8">
        <f t="shared" ca="1" si="32"/>
        <v>-1.4000000000000057</v>
      </c>
      <c r="F398" s="8" vm="804">
        <f t="shared" ca="1" si="33"/>
        <v>179.27</v>
      </c>
      <c r="AC398">
        <v>396</v>
      </c>
      <c r="AD398" s="4">
        <v>0.17452247400817048</v>
      </c>
      <c r="AF398">
        <v>396</v>
      </c>
      <c r="AG398" s="4">
        <v>6.8824414628730632E-3</v>
      </c>
      <c r="AI398">
        <v>396</v>
      </c>
      <c r="AJ398" s="4">
        <v>6.2009612211850551E-3</v>
      </c>
    </row>
    <row r="399" spans="1:36" x14ac:dyDescent="0.35">
      <c r="A399" vm="807">
        <f ca="1"/>
        <v>45870</v>
      </c>
      <c r="B399" vm="808">
        <f ca="1"/>
        <v>173.72</v>
      </c>
      <c r="C399" s="4">
        <f t="shared" ca="1" si="30"/>
        <v>-2.3331646708270117E-2</v>
      </c>
      <c r="D399" s="4">
        <f t="shared" ca="1" si="31"/>
        <v>-2.3608138720764962E-2</v>
      </c>
      <c r="E399" s="8">
        <f t="shared" ca="1" si="32"/>
        <v>-4.1500000000000057</v>
      </c>
      <c r="F399" s="8" vm="806">
        <f t="shared" ca="1" si="33"/>
        <v>177.87</v>
      </c>
      <c r="AC399">
        <v>397</v>
      </c>
      <c r="AD399" s="4">
        <v>6.2558894535840542E-2</v>
      </c>
      <c r="AF399">
        <v>397</v>
      </c>
      <c r="AG399" s="4">
        <v>6.7043949307217772E-3</v>
      </c>
      <c r="AI399">
        <v>397</v>
      </c>
      <c r="AJ399" s="4">
        <v>8.3806647556862995E-3</v>
      </c>
    </row>
    <row r="400" spans="1:36" x14ac:dyDescent="0.35">
      <c r="A400" vm="809">
        <f ca="1"/>
        <v>45873</v>
      </c>
      <c r="B400" vm="810">
        <f ca="1"/>
        <v>180</v>
      </c>
      <c r="C400" s="4">
        <f t="shared" ca="1" si="30"/>
        <v>3.6150126640571038E-2</v>
      </c>
      <c r="D400" s="4">
        <f t="shared" ca="1" si="31"/>
        <v>3.5512043223589265E-2</v>
      </c>
      <c r="E400" s="8">
        <f t="shared" ca="1" si="32"/>
        <v>6.2800000000000011</v>
      </c>
      <c r="F400" s="8" vm="808">
        <f t="shared" ca="1" si="33"/>
        <v>173.72</v>
      </c>
      <c r="AC400">
        <v>398</v>
      </c>
      <c r="AD400" s="4">
        <v>0.13619189831377351</v>
      </c>
      <c r="AF400">
        <v>398</v>
      </c>
      <c r="AG400" s="4">
        <v>6.7351375152065853E-3</v>
      </c>
      <c r="AI400">
        <v>398</v>
      </c>
      <c r="AJ400" s="4">
        <v>7.5914714419886183E-3</v>
      </c>
    </row>
    <row r="401" spans="1:36" x14ac:dyDescent="0.35">
      <c r="A401" vm="811">
        <f ca="1"/>
        <v>45874</v>
      </c>
      <c r="B401" vm="812">
        <f ca="1"/>
        <v>178.26</v>
      </c>
      <c r="C401" s="4">
        <f t="shared" ca="1" si="30"/>
        <v>-9.6666666666667175E-3</v>
      </c>
      <c r="D401" s="4">
        <f t="shared" ca="1" si="31"/>
        <v>-9.7136921876391485E-3</v>
      </c>
      <c r="E401" s="8">
        <f t="shared" ca="1" si="32"/>
        <v>-1.7400000000000091</v>
      </c>
      <c r="F401" s="8" vm="810">
        <f t="shared" ca="1" si="33"/>
        <v>180</v>
      </c>
      <c r="AC401">
        <v>399</v>
      </c>
      <c r="AD401" s="4">
        <v>4.0296577129118515E-2</v>
      </c>
      <c r="AF401">
        <v>399</v>
      </c>
      <c r="AG401" s="4">
        <v>6.7880408558288188E-3</v>
      </c>
      <c r="AI401">
        <v>399</v>
      </c>
      <c r="AJ401" s="4">
        <v>8.6287560962369329E-3</v>
      </c>
    </row>
    <row r="402" spans="1:36" x14ac:dyDescent="0.35">
      <c r="A402" vm="813">
        <f ca="1"/>
        <v>45875</v>
      </c>
      <c r="B402" vm="814">
        <f ca="1"/>
        <v>179.42</v>
      </c>
      <c r="C402" s="4">
        <f t="shared" ca="1" si="30"/>
        <v>6.5073488163356705E-3</v>
      </c>
      <c r="D402" s="4">
        <f t="shared" ca="1" si="31"/>
        <v>6.4862674285661491E-3</v>
      </c>
      <c r="E402" s="8">
        <f t="shared" ca="1" si="32"/>
        <v>1.1599999999999966</v>
      </c>
      <c r="F402" s="8" vm="812">
        <f t="shared" ca="1" si="33"/>
        <v>178.26</v>
      </c>
      <c r="AC402">
        <v>400</v>
      </c>
      <c r="AD402" s="4">
        <v>2.2122771283073151E-2</v>
      </c>
      <c r="AF402">
        <v>400</v>
      </c>
      <c r="AG402" s="4">
        <v>6.8388494648411007E-3</v>
      </c>
      <c r="AI402">
        <v>400</v>
      </c>
      <c r="AJ402" s="4">
        <v>7.9279693646759578E-3</v>
      </c>
    </row>
    <row r="403" spans="1:36" x14ac:dyDescent="0.35">
      <c r="A403" vm="815">
        <f ca="1"/>
        <v>45876</v>
      </c>
      <c r="B403" vm="816">
        <f ca="1"/>
        <v>180.77</v>
      </c>
      <c r="C403" s="4">
        <f t="shared" ca="1" si="30"/>
        <v>7.5242447887639216E-3</v>
      </c>
      <c r="D403" s="4">
        <f t="shared" ca="1" si="31"/>
        <v>7.4960788556257376E-3</v>
      </c>
      <c r="E403" s="8">
        <f t="shared" ca="1" si="32"/>
        <v>1.3500000000000227</v>
      </c>
      <c r="F403" s="8" vm="814">
        <f t="shared" ca="1" si="33"/>
        <v>179.42</v>
      </c>
      <c r="AC403">
        <v>401</v>
      </c>
      <c r="AD403" s="4">
        <v>3.4982599767315527E-2</v>
      </c>
      <c r="AF403">
        <v>401</v>
      </c>
      <c r="AG403" s="4">
        <v>6.8779892946600881E-3</v>
      </c>
      <c r="AI403">
        <v>401</v>
      </c>
      <c r="AJ403" s="4">
        <v>6.5160324581796511E-3</v>
      </c>
    </row>
    <row r="404" spans="1:36" x14ac:dyDescent="0.35">
      <c r="A404" vm="817">
        <f ca="1"/>
        <v>45877</v>
      </c>
      <c r="B404" vm="818">
        <f ca="1"/>
        <v>182.7</v>
      </c>
      <c r="C404" s="4">
        <f t="shared" ca="1" si="30"/>
        <v>1.0676550312551741E-2</v>
      </c>
      <c r="D404" s="4">
        <f t="shared" ca="1" si="31"/>
        <v>1.0619958397197829E-2</v>
      </c>
      <c r="E404" s="8">
        <f t="shared" ca="1" si="32"/>
        <v>1.9299999999999784</v>
      </c>
      <c r="F404" s="8" vm="816">
        <f t="shared" ca="1" si="33"/>
        <v>180.77</v>
      </c>
      <c r="AC404">
        <v>402</v>
      </c>
      <c r="AD404" s="4">
        <v>5.1011453492285128E-2</v>
      </c>
      <c r="AF404">
        <v>402</v>
      </c>
      <c r="AG404" s="4">
        <v>6.7766552458586706E-3</v>
      </c>
      <c r="AI404">
        <v>402</v>
      </c>
      <c r="AJ404" s="4">
        <v>6.9981799814215909E-3</v>
      </c>
    </row>
    <row r="405" spans="1:36" x14ac:dyDescent="0.35">
      <c r="A405" vm="819">
        <f ca="1"/>
        <v>45880</v>
      </c>
      <c r="B405" vm="820">
        <f ca="1"/>
        <v>182.06</v>
      </c>
      <c r="C405" s="4">
        <f t="shared" ca="1" si="30"/>
        <v>-3.5030103995620492E-3</v>
      </c>
      <c r="D405" s="4">
        <f t="shared" ca="1" si="31"/>
        <v>-3.5091603068182001E-3</v>
      </c>
      <c r="E405" s="8">
        <f t="shared" ca="1" si="32"/>
        <v>-0.63999999999998636</v>
      </c>
      <c r="F405" s="8" vm="818">
        <f t="shared" ca="1" si="33"/>
        <v>182.7</v>
      </c>
      <c r="AC405">
        <v>403</v>
      </c>
      <c r="AD405" s="4">
        <v>4.7818194331830287E-2</v>
      </c>
      <c r="AF405">
        <v>403</v>
      </c>
      <c r="AG405" s="4">
        <v>6.8338827166040499E-3</v>
      </c>
      <c r="AI405">
        <v>403</v>
      </c>
      <c r="AJ405" s="4">
        <v>7.8855657768321947E-3</v>
      </c>
    </row>
    <row r="406" spans="1:36" x14ac:dyDescent="0.35">
      <c r="A406" vm="821">
        <f ca="1"/>
        <v>45881</v>
      </c>
      <c r="B406" vm="822">
        <f ca="1"/>
        <v>183.16</v>
      </c>
      <c r="C406" s="4">
        <f t="shared" ca="1" si="30"/>
        <v>6.0419641876304202E-3</v>
      </c>
      <c r="D406" s="4">
        <f t="shared" ca="1" si="31"/>
        <v>6.0237847117518917E-3</v>
      </c>
      <c r="E406" s="8">
        <f t="shared" ca="1" si="32"/>
        <v>1.0999999999999943</v>
      </c>
      <c r="F406" s="8" vm="820">
        <f t="shared" ca="1" si="33"/>
        <v>182.06</v>
      </c>
      <c r="AC406">
        <v>404</v>
      </c>
      <c r="AD406" s="4">
        <v>8.9139689515162643E-2</v>
      </c>
      <c r="AF406">
        <v>404</v>
      </c>
      <c r="AG406" s="4">
        <v>6.7661066967552828E-3</v>
      </c>
      <c r="AI406">
        <v>404</v>
      </c>
      <c r="AJ406" s="4">
        <v>6.7490273333165908E-3</v>
      </c>
    </row>
    <row r="407" spans="1:36" x14ac:dyDescent="0.35">
      <c r="A407" vm="823">
        <f ca="1"/>
        <v>45882</v>
      </c>
      <c r="B407" vm="824">
        <f ca="1"/>
        <v>181.59</v>
      </c>
      <c r="C407" s="4">
        <f t="shared" ca="1" si="30"/>
        <v>-8.5717405547062302E-3</v>
      </c>
      <c r="D407" s="4">
        <f t="shared" ca="1" si="31"/>
        <v>-8.6086892171890975E-3</v>
      </c>
      <c r="E407" s="8">
        <f t="shared" ca="1" si="32"/>
        <v>-1.5699999999999932</v>
      </c>
      <c r="F407" s="8" vm="822">
        <f t="shared" ca="1" si="33"/>
        <v>183.16</v>
      </c>
      <c r="AC407">
        <v>405</v>
      </c>
      <c r="AD407" s="4">
        <v>6.9388237062548125E-2</v>
      </c>
      <c r="AF407">
        <v>405</v>
      </c>
      <c r="AG407" s="4">
        <v>6.9205304762641976E-3</v>
      </c>
      <c r="AI407">
        <v>405</v>
      </c>
      <c r="AJ407" s="4">
        <v>7.6599386065350555E-3</v>
      </c>
    </row>
    <row r="408" spans="1:36" x14ac:dyDescent="0.35">
      <c r="A408" vm="825">
        <f ca="1"/>
        <v>45883</v>
      </c>
      <c r="B408" vm="826">
        <f ca="1"/>
        <v>182.02</v>
      </c>
      <c r="C408" s="4">
        <f t="shared" ca="1" si="30"/>
        <v>2.3679718046148292E-3</v>
      </c>
      <c r="D408" s="4">
        <f t="shared" ca="1" si="31"/>
        <v>2.3651725775040732E-3</v>
      </c>
      <c r="E408" s="8">
        <f t="shared" ca="1" si="32"/>
        <v>0.43000000000000682</v>
      </c>
      <c r="F408" s="8" vm="824">
        <f t="shared" ca="1" si="33"/>
        <v>181.59</v>
      </c>
      <c r="AC408">
        <v>406</v>
      </c>
      <c r="AD408" s="4">
        <v>9.5873378031454265E-2</v>
      </c>
      <c r="AF408">
        <v>406</v>
      </c>
      <c r="AG408" s="4">
        <v>6.7716815731905392E-3</v>
      </c>
      <c r="AI408">
        <v>406</v>
      </c>
      <c r="AJ408" s="4">
        <v>7.4675285899895435E-3</v>
      </c>
    </row>
    <row r="409" spans="1:36" x14ac:dyDescent="0.35">
      <c r="A409" vm="827">
        <f ca="1"/>
        <v>45884</v>
      </c>
      <c r="B409" vm="828">
        <f ca="1"/>
        <v>180.45</v>
      </c>
      <c r="C409" s="4">
        <f t="shared" ca="1" si="30"/>
        <v>-8.6254257773872179E-3</v>
      </c>
      <c r="D409" s="4">
        <f t="shared" ca="1" si="31"/>
        <v>-8.6628400604121924E-3</v>
      </c>
      <c r="E409" s="8">
        <f t="shared" ca="1" si="32"/>
        <v>-1.5700000000000216</v>
      </c>
      <c r="F409" s="8" vm="826">
        <f t="shared" ca="1" si="33"/>
        <v>182.02</v>
      </c>
      <c r="AC409">
        <v>407</v>
      </c>
      <c r="AD409" s="4">
        <v>6.8829526751426923E-2</v>
      </c>
      <c r="AF409">
        <v>407</v>
      </c>
      <c r="AG409" s="4">
        <v>6.7692617652519308E-3</v>
      </c>
      <c r="AI409">
        <v>407</v>
      </c>
      <c r="AJ409" s="4">
        <v>7.1197407297117826E-3</v>
      </c>
    </row>
    <row r="410" spans="1:36" x14ac:dyDescent="0.35">
      <c r="A410" vm="829">
        <f ca="1"/>
        <v>45887</v>
      </c>
      <c r="B410" vm="830">
        <f ca="1"/>
        <v>182.01</v>
      </c>
      <c r="C410" s="4">
        <f t="shared" ca="1" si="30"/>
        <v>8.6450540315877109E-3</v>
      </c>
      <c r="D410" s="4">
        <f t="shared" ca="1" si="31"/>
        <v>8.6078995335185544E-3</v>
      </c>
      <c r="E410" s="8">
        <f t="shared" ca="1" si="32"/>
        <v>1.5600000000000023</v>
      </c>
      <c r="F410" s="8" vm="828">
        <f t="shared" ca="1" si="33"/>
        <v>180.45</v>
      </c>
      <c r="AC410">
        <v>408</v>
      </c>
      <c r="AD410" s="4">
        <v>3.4523320573864029E-2</v>
      </c>
      <c r="AF410">
        <v>408</v>
      </c>
      <c r="AG410" s="4">
        <v>6.8298453259143712E-3</v>
      </c>
      <c r="AI410">
        <v>408</v>
      </c>
      <c r="AJ410" s="4">
        <v>1.0617201349732498E-2</v>
      </c>
    </row>
    <row r="411" spans="1:36" x14ac:dyDescent="0.35">
      <c r="A411" vm="831">
        <f ca="1"/>
        <v>45888</v>
      </c>
      <c r="B411" vm="832">
        <f ca="1"/>
        <v>175.64</v>
      </c>
      <c r="C411" s="4">
        <f t="shared" ca="1" si="30"/>
        <v>-3.4998077028734711E-2</v>
      </c>
      <c r="D411" s="4">
        <f t="shared" ca="1" si="31"/>
        <v>-3.5625184928799479E-2</v>
      </c>
      <c r="E411" s="8">
        <f t="shared" ca="1" si="32"/>
        <v>-6.3700000000000045</v>
      </c>
      <c r="F411" s="8" vm="830">
        <f t="shared" ca="1" si="33"/>
        <v>182.01</v>
      </c>
      <c r="AC411">
        <v>409</v>
      </c>
      <c r="AD411" s="4">
        <v>4.0948878084267754E-2</v>
      </c>
      <c r="AF411">
        <v>409</v>
      </c>
      <c r="AG411" s="4">
        <v>6.8222863883506679E-3</v>
      </c>
      <c r="AI411">
        <v>409</v>
      </c>
      <c r="AJ411" s="4">
        <v>6.3643620968062082E-3</v>
      </c>
    </row>
    <row r="412" spans="1:36" x14ac:dyDescent="0.35">
      <c r="A412" vm="833">
        <f ca="1"/>
        <v>45889</v>
      </c>
      <c r="B412" vm="834">
        <f ca="1"/>
        <v>175.4</v>
      </c>
      <c r="C412" s="4">
        <f t="shared" ca="1" si="30"/>
        <v>-1.3664313368252146E-3</v>
      </c>
      <c r="D412" s="4">
        <f t="shared" ca="1" si="31"/>
        <v>-1.3673657554339415E-3</v>
      </c>
      <c r="E412" s="8">
        <f t="shared" ca="1" si="32"/>
        <v>-0.23999999999998067</v>
      </c>
      <c r="F412" s="8" vm="832">
        <f t="shared" ca="1" si="33"/>
        <v>175.64</v>
      </c>
      <c r="AC412">
        <v>410</v>
      </c>
      <c r="AD412" s="4">
        <v>0.11007319043659765</v>
      </c>
      <c r="AF412">
        <v>410</v>
      </c>
      <c r="AG412" s="4">
        <v>6.7554566050836064E-3</v>
      </c>
      <c r="AI412">
        <v>410</v>
      </c>
      <c r="AJ412" s="4">
        <v>9.121838076810251E-3</v>
      </c>
    </row>
    <row r="413" spans="1:36" x14ac:dyDescent="0.35">
      <c r="A413" vm="835">
        <f ca="1"/>
        <v>45890</v>
      </c>
      <c r="B413" vm="836">
        <f ca="1"/>
        <v>174.98</v>
      </c>
      <c r="C413" s="4">
        <f t="shared" ca="1" si="30"/>
        <v>-2.3945267958951875E-3</v>
      </c>
      <c r="D413" s="4">
        <f t="shared" ca="1" si="31"/>
        <v>-2.3973982599642223E-3</v>
      </c>
      <c r="E413" s="8">
        <f t="shared" ca="1" si="32"/>
        <v>-0.42000000000001592</v>
      </c>
      <c r="F413" s="8" vm="834">
        <f t="shared" ca="1" si="33"/>
        <v>175.4</v>
      </c>
      <c r="AC413">
        <v>411</v>
      </c>
      <c r="AD413" s="4">
        <v>7.5709937855577017E-2</v>
      </c>
      <c r="AF413">
        <v>411</v>
      </c>
      <c r="AG413" s="4">
        <v>6.7296842432010362E-3</v>
      </c>
      <c r="AI413">
        <v>411</v>
      </c>
      <c r="AJ413" s="4">
        <v>6.6801573552481841E-3</v>
      </c>
    </row>
    <row r="414" spans="1:36" x14ac:dyDescent="0.35">
      <c r="A414" vm="837">
        <f ca="1"/>
        <v>45891</v>
      </c>
      <c r="B414" vm="838">
        <f ca="1"/>
        <v>177.99</v>
      </c>
      <c r="C414" s="4">
        <f t="shared" ca="1" si="30"/>
        <v>1.7201965938964565E-2</v>
      </c>
      <c r="D414" s="4">
        <f t="shared" ca="1" si="31"/>
        <v>1.7055687260543243E-2</v>
      </c>
      <c r="E414" s="8">
        <f t="shared" ca="1" si="32"/>
        <v>3.0100000000000193</v>
      </c>
      <c r="F414" s="8" vm="836">
        <f t="shared" ca="1" si="33"/>
        <v>174.98</v>
      </c>
      <c r="AC414">
        <v>412</v>
      </c>
      <c r="AD414" s="4">
        <v>2.7602174921302857E-2</v>
      </c>
      <c r="AF414">
        <v>412</v>
      </c>
      <c r="AG414" s="4">
        <v>6.8076566160320817E-3</v>
      </c>
      <c r="AI414">
        <v>412</v>
      </c>
      <c r="AJ414" s="4">
        <v>8.8327937151718109E-3</v>
      </c>
    </row>
    <row r="415" spans="1:36" x14ac:dyDescent="0.35">
      <c r="A415" vm="839">
        <f ca="1"/>
        <v>45894</v>
      </c>
      <c r="B415" vm="840">
        <f ca="1"/>
        <v>179.81</v>
      </c>
      <c r="C415" s="4">
        <f t="shared" ca="1" si="30"/>
        <v>1.0225293555817704E-2</v>
      </c>
      <c r="D415" s="4">
        <f t="shared" ca="1" si="31"/>
        <v>1.0173368904884798E-2</v>
      </c>
      <c r="E415" s="8">
        <f t="shared" ca="1" si="32"/>
        <v>1.8199999999999932</v>
      </c>
      <c r="F415" s="8" vm="838">
        <f t="shared" ca="1" si="33"/>
        <v>177.99</v>
      </c>
      <c r="AC415">
        <v>413</v>
      </c>
      <c r="AD415" s="4">
        <v>4.5615922408536756E-2</v>
      </c>
      <c r="AF415">
        <v>413</v>
      </c>
      <c r="AG415" s="4">
        <v>6.7668655079324421E-3</v>
      </c>
      <c r="AI415">
        <v>413</v>
      </c>
      <c r="AJ415" s="4">
        <v>6.4408352208406979E-3</v>
      </c>
    </row>
    <row r="416" spans="1:36" x14ac:dyDescent="0.35">
      <c r="A416" vm="841">
        <f ca="1"/>
        <v>45895</v>
      </c>
      <c r="B416" vm="842">
        <f ca="1"/>
        <v>181.77</v>
      </c>
      <c r="C416" s="4">
        <f t="shared" ca="1" si="30"/>
        <v>1.0900394861242467E-2</v>
      </c>
      <c r="D416" s="4">
        <f t="shared" ca="1" si="31"/>
        <v>1.0841413781461152E-2</v>
      </c>
      <c r="E416" s="8">
        <f t="shared" ca="1" si="32"/>
        <v>1.960000000000008</v>
      </c>
      <c r="F416" s="8" vm="840">
        <f t="shared" ca="1" si="33"/>
        <v>179.81</v>
      </c>
      <c r="AC416">
        <v>414</v>
      </c>
      <c r="AD416" s="4">
        <v>5.2903680313750132E-2</v>
      </c>
      <c r="AF416">
        <v>414</v>
      </c>
      <c r="AG416" s="4">
        <v>6.7455469441303839E-3</v>
      </c>
      <c r="AI416">
        <v>414</v>
      </c>
      <c r="AJ416" s="4">
        <v>7.5427393033792043E-3</v>
      </c>
    </row>
    <row r="417" spans="1:36" x14ac:dyDescent="0.35">
      <c r="A417" vm="843">
        <f ca="1"/>
        <v>45896</v>
      </c>
      <c r="B417" vm="844">
        <f ca="1"/>
        <v>181.6</v>
      </c>
      <c r="C417" s="4">
        <f t="shared" ca="1" si="30"/>
        <v>-9.3524784067786711E-4</v>
      </c>
      <c r="D417" s="4">
        <f t="shared" ca="1" si="31"/>
        <v>-9.3568545781456578E-4</v>
      </c>
      <c r="E417" s="8">
        <f t="shared" ca="1" si="32"/>
        <v>-0.17000000000001592</v>
      </c>
      <c r="F417" s="8" vm="842">
        <f t="shared" ca="1" si="33"/>
        <v>181.77</v>
      </c>
      <c r="AC417">
        <v>415</v>
      </c>
      <c r="AD417" s="4">
        <v>9.1730511446946827E-2</v>
      </c>
      <c r="AF417">
        <v>415</v>
      </c>
      <c r="AG417" s="4">
        <v>6.788991738266417E-3</v>
      </c>
      <c r="AI417">
        <v>415</v>
      </c>
      <c r="AJ417" s="4">
        <v>6.9585113275227846E-3</v>
      </c>
    </row>
    <row r="418" spans="1:36" x14ac:dyDescent="0.35">
      <c r="A418" vm="845">
        <f ca="1"/>
        <v>45897</v>
      </c>
      <c r="B418" vm="846">
        <f ca="1"/>
        <v>180.17</v>
      </c>
      <c r="C418" s="4">
        <f t="shared" ca="1" si="30"/>
        <v>-7.8744493392070864E-3</v>
      </c>
      <c r="D418" s="4">
        <f t="shared" ca="1" si="31"/>
        <v>-7.9056165395841975E-3</v>
      </c>
      <c r="E418" s="8">
        <f t="shared" ca="1" si="32"/>
        <v>-1.4300000000000068</v>
      </c>
      <c r="F418" s="8" vm="844">
        <f t="shared" ca="1" si="33"/>
        <v>181.6</v>
      </c>
      <c r="AC418">
        <v>416</v>
      </c>
      <c r="AD418" s="4">
        <v>2.4822322942317399E-2</v>
      </c>
      <c r="AF418">
        <v>416</v>
      </c>
      <c r="AG418" s="4">
        <v>6.6607527044873684E-3</v>
      </c>
      <c r="AI418">
        <v>416</v>
      </c>
      <c r="AJ418" s="4">
        <v>7.0791336743788727E-3</v>
      </c>
    </row>
    <row r="419" spans="1:36" x14ac:dyDescent="0.35">
      <c r="A419" vm="847">
        <f ca="1"/>
        <v>45898</v>
      </c>
      <c r="B419" vm="848">
        <f ca="1"/>
        <v>174.18</v>
      </c>
      <c r="C419" s="4">
        <f t="shared" ca="1" si="30"/>
        <v>-3.3246378420380647E-2</v>
      </c>
      <c r="D419" s="4">
        <f t="shared" ca="1" si="31"/>
        <v>-3.3811602363015204E-2</v>
      </c>
      <c r="E419" s="8">
        <f t="shared" ca="1" si="32"/>
        <v>-5.9899999999999807</v>
      </c>
      <c r="F419" s="8" vm="846">
        <f t="shared" ca="1" si="33"/>
        <v>180.17</v>
      </c>
      <c r="AC419">
        <v>417</v>
      </c>
      <c r="AD419" s="4">
        <v>0.12157262610554653</v>
      </c>
      <c r="AF419">
        <v>417</v>
      </c>
      <c r="AG419" s="4">
        <v>6.8965140534518604E-3</v>
      </c>
      <c r="AI419">
        <v>417</v>
      </c>
      <c r="AJ419" s="4">
        <v>8.382120896900689E-3</v>
      </c>
    </row>
    <row r="420" spans="1:36" x14ac:dyDescent="0.35">
      <c r="A420" vm="849">
        <f ca="1"/>
        <v>45902</v>
      </c>
      <c r="B420" vm="794">
        <f ca="1"/>
        <v>170.78</v>
      </c>
      <c r="C420" s="4">
        <f t="shared" ca="1" si="30"/>
        <v>-1.9520036743598607E-2</v>
      </c>
      <c r="D420" s="4">
        <f t="shared" ca="1" si="31"/>
        <v>-1.9713068785133448E-2</v>
      </c>
      <c r="E420" s="8">
        <f t="shared" ca="1" si="32"/>
        <v>-3.4000000000000057</v>
      </c>
      <c r="F420" s="8" vm="848">
        <f t="shared" ca="1" si="33"/>
        <v>174.18</v>
      </c>
      <c r="AC420">
        <v>418</v>
      </c>
      <c r="AD420" s="4">
        <v>5.495585745582713E-2</v>
      </c>
      <c r="AF420">
        <v>418</v>
      </c>
      <c r="AG420" s="4">
        <v>6.9073702329397746E-3</v>
      </c>
      <c r="AI420">
        <v>418</v>
      </c>
      <c r="AJ420" s="4">
        <v>7.2714113219162681E-3</v>
      </c>
    </row>
    <row r="421" spans="1:36" x14ac:dyDescent="0.35">
      <c r="A421" vm="850">
        <f ca="1"/>
        <v>45903</v>
      </c>
      <c r="B421" vm="851">
        <f ca="1"/>
        <v>170.62</v>
      </c>
      <c r="C421" s="4">
        <f t="shared" ca="1" si="30"/>
        <v>-9.3687785454969307E-4</v>
      </c>
      <c r="D421" s="4">
        <f t="shared" ca="1" si="31"/>
        <v>-9.3731699891133852E-4</v>
      </c>
      <c r="E421" s="8">
        <f t="shared" ca="1" si="32"/>
        <v>-0.15999999999999659</v>
      </c>
      <c r="F421" s="8" vm="794">
        <f t="shared" ca="1" si="33"/>
        <v>170.78</v>
      </c>
      <c r="AC421">
        <v>419</v>
      </c>
      <c r="AD421" s="4">
        <v>3.8677894355635831E-2</v>
      </c>
      <c r="AF421">
        <v>419</v>
      </c>
      <c r="AG421" s="4">
        <v>6.7759602314904485E-3</v>
      </c>
      <c r="AI421">
        <v>419</v>
      </c>
      <c r="AJ421" s="4">
        <v>7.6672839271593497E-3</v>
      </c>
    </row>
    <row r="422" spans="1:36" x14ac:dyDescent="0.35">
      <c r="A422" vm="852">
        <f ca="1"/>
        <v>45904</v>
      </c>
      <c r="B422" vm="853">
        <f ca="1"/>
        <v>171.66</v>
      </c>
      <c r="C422" s="4">
        <f t="shared" ca="1" si="30"/>
        <v>6.0954167155081E-3</v>
      </c>
      <c r="D422" s="4">
        <f t="shared" ca="1" si="31"/>
        <v>6.0769148095251137E-3</v>
      </c>
      <c r="E422" s="8">
        <f t="shared" ca="1" si="32"/>
        <v>1.039999999999992</v>
      </c>
      <c r="F422" s="8" vm="851">
        <f t="shared" ca="1" si="33"/>
        <v>170.62</v>
      </c>
      <c r="AC422">
        <v>420</v>
      </c>
      <c r="AD422" s="4">
        <v>3.5686590954778788E-2</v>
      </c>
      <c r="AF422">
        <v>420</v>
      </c>
      <c r="AG422" s="4">
        <v>6.8022607336092307E-3</v>
      </c>
      <c r="AI422">
        <v>420</v>
      </c>
      <c r="AJ422" s="4">
        <v>7.5335467218044707E-3</v>
      </c>
    </row>
    <row r="423" spans="1:36" x14ac:dyDescent="0.35">
      <c r="A423" vm="854">
        <f ca="1"/>
        <v>45905</v>
      </c>
      <c r="B423" vm="855">
        <f ca="1"/>
        <v>167.02</v>
      </c>
      <c r="C423" s="4">
        <f t="shared" ca="1" si="30"/>
        <v>-2.7030175929162219E-2</v>
      </c>
      <c r="D423" s="4">
        <f t="shared" ca="1" si="31"/>
        <v>-2.7402210564990471E-2</v>
      </c>
      <c r="E423" s="8">
        <f t="shared" ca="1" si="32"/>
        <v>-4.6399999999999864</v>
      </c>
      <c r="F423" s="8" vm="853">
        <f t="shared" ca="1" si="33"/>
        <v>171.66</v>
      </c>
      <c r="AC423">
        <v>421</v>
      </c>
      <c r="AD423" s="4">
        <v>0.11714614054346487</v>
      </c>
      <c r="AF423">
        <v>421</v>
      </c>
      <c r="AG423" s="4">
        <v>6.7629564769036751E-3</v>
      </c>
      <c r="AI423">
        <v>421</v>
      </c>
      <c r="AJ423" s="4">
        <v>7.7790514190321479E-3</v>
      </c>
    </row>
    <row r="424" spans="1:36" x14ac:dyDescent="0.35">
      <c r="A424" vm="856">
        <f ca="1"/>
        <v>45908</v>
      </c>
      <c r="B424" vm="857">
        <f ca="1"/>
        <v>168.31</v>
      </c>
      <c r="C424" s="4">
        <f t="shared" ca="1" si="30"/>
        <v>7.7236259130642557E-3</v>
      </c>
      <c r="D424" s="4">
        <f t="shared" ca="1" si="31"/>
        <v>7.6939514129913816E-3</v>
      </c>
      <c r="E424" s="8">
        <f t="shared" ca="1" si="32"/>
        <v>1.289999999999992</v>
      </c>
      <c r="F424" s="8" vm="855">
        <f t="shared" ca="1" si="33"/>
        <v>167.02</v>
      </c>
      <c r="AC424">
        <v>422</v>
      </c>
      <c r="AD424" s="4">
        <v>2.882085743195581E-2</v>
      </c>
      <c r="AF424">
        <v>422</v>
      </c>
      <c r="AG424" s="4">
        <v>6.7529233901157263E-3</v>
      </c>
      <c r="AI424">
        <v>422</v>
      </c>
      <c r="AJ424" s="4">
        <v>7.3988749973998066E-3</v>
      </c>
    </row>
    <row r="425" spans="1:36" x14ac:dyDescent="0.35">
      <c r="A425" vm="858">
        <f ca="1"/>
        <v>45909</v>
      </c>
      <c r="B425" vm="859">
        <f ca="1"/>
        <v>170.76</v>
      </c>
      <c r="C425" s="4">
        <f t="shared" ca="1" si="30"/>
        <v>1.4556473174499368E-2</v>
      </c>
      <c r="D425" s="4">
        <f t="shared" ca="1" si="31"/>
        <v>1.4451544751686397E-2</v>
      </c>
      <c r="E425" s="8">
        <f t="shared" ca="1" si="32"/>
        <v>2.4499999999999886</v>
      </c>
      <c r="F425" s="8" vm="857">
        <f t="shared" ca="1" si="33"/>
        <v>168.31</v>
      </c>
      <c r="AC425">
        <v>423</v>
      </c>
      <c r="AD425" s="4">
        <v>7.3226846986884669E-2</v>
      </c>
      <c r="AF425">
        <v>423</v>
      </c>
      <c r="AG425" s="4">
        <v>6.7978894923966552E-3</v>
      </c>
      <c r="AI425">
        <v>423</v>
      </c>
      <c r="AJ425" s="4">
        <v>7.5522767517118171E-3</v>
      </c>
    </row>
    <row r="426" spans="1:36" x14ac:dyDescent="0.35">
      <c r="A426" vm="860">
        <f ca="1"/>
        <v>45910</v>
      </c>
      <c r="B426" vm="861">
        <f ca="1"/>
        <v>177.33</v>
      </c>
      <c r="C426" s="4">
        <f t="shared" ca="1" si="30"/>
        <v>3.8475052705551779E-2</v>
      </c>
      <c r="D426" s="4">
        <f t="shared" ca="1" si="31"/>
        <v>3.7753341614626582E-2</v>
      </c>
      <c r="E426" s="8">
        <f t="shared" ca="1" si="32"/>
        <v>6.5700000000000216</v>
      </c>
      <c r="F426" s="8" vm="859">
        <f t="shared" ca="1" si="33"/>
        <v>170.76</v>
      </c>
      <c r="AC426">
        <v>424</v>
      </c>
      <c r="AD426" s="4">
        <v>5.299603848154022E-2</v>
      </c>
      <c r="AF426">
        <v>424</v>
      </c>
      <c r="AG426" s="4">
        <v>6.6977073598766508E-3</v>
      </c>
      <c r="AI426">
        <v>424</v>
      </c>
      <c r="AJ426" s="4">
        <v>7.7478201707166542E-3</v>
      </c>
    </row>
    <row r="427" spans="1:36" x14ac:dyDescent="0.35">
      <c r="A427" vm="862">
        <f ca="1"/>
        <v>45911</v>
      </c>
      <c r="B427" vm="863">
        <f ca="1"/>
        <v>177.17</v>
      </c>
      <c r="C427" s="4">
        <f t="shared" ca="1" si="30"/>
        <v>-9.0227259910914681E-4</v>
      </c>
      <c r="D427" s="4">
        <f t="shared" ca="1" si="31"/>
        <v>-9.0267989204194962E-4</v>
      </c>
      <c r="E427" s="8">
        <f t="shared" ca="1" si="32"/>
        <v>-0.16000000000002501</v>
      </c>
      <c r="F427" s="8" vm="861">
        <f t="shared" ca="1" si="33"/>
        <v>177.33</v>
      </c>
      <c r="AC427">
        <v>425</v>
      </c>
      <c r="AD427" s="4">
        <v>7.6567589072476808E-2</v>
      </c>
      <c r="AF427">
        <v>425</v>
      </c>
      <c r="AG427" s="4">
        <v>6.7611146730075034E-3</v>
      </c>
      <c r="AI427">
        <v>425</v>
      </c>
      <c r="AJ427" s="4">
        <v>7.0931540853032635E-3</v>
      </c>
    </row>
    <row r="428" spans="1:36" x14ac:dyDescent="0.35">
      <c r="A428" vm="864">
        <f ca="1"/>
        <v>45912</v>
      </c>
      <c r="B428" vm="865">
        <f ca="1"/>
        <v>177.82</v>
      </c>
      <c r="C428" s="4">
        <f t="shared" ca="1" si="30"/>
        <v>3.6687926849918481E-3</v>
      </c>
      <c r="D428" s="4">
        <f t="shared" ca="1" si="31"/>
        <v>3.662079080646989E-3</v>
      </c>
      <c r="E428" s="8">
        <f t="shared" ca="1" si="32"/>
        <v>0.65000000000000568</v>
      </c>
      <c r="F428" s="8" vm="863">
        <f t="shared" ca="1" si="33"/>
        <v>177.17</v>
      </c>
      <c r="AC428">
        <v>426</v>
      </c>
      <c r="AD428" s="4">
        <v>8.8801641920755708E-2</v>
      </c>
      <c r="AF428">
        <v>426</v>
      </c>
      <c r="AG428" s="4">
        <v>6.7488845258909004E-3</v>
      </c>
      <c r="AI428">
        <v>426</v>
      </c>
      <c r="AJ428" s="4">
        <v>7.2457381012188604E-3</v>
      </c>
    </row>
    <row r="429" spans="1:36" x14ac:dyDescent="0.35">
      <c r="A429" vm="866">
        <f ca="1"/>
        <v>45915</v>
      </c>
      <c r="B429" vm="867">
        <f ca="1"/>
        <v>177.75</v>
      </c>
      <c r="C429" s="4">
        <f t="shared" ca="1" si="30"/>
        <v>-3.9365650657964898E-4</v>
      </c>
      <c r="D429" s="4">
        <f t="shared" ca="1" si="31"/>
        <v>-3.9373400964260857E-4</v>
      </c>
      <c r="E429" s="8">
        <f t="shared" ca="1" si="32"/>
        <v>-6.9999999999993179E-2</v>
      </c>
      <c r="F429" s="8" vm="865">
        <f t="shared" ca="1" si="33"/>
        <v>177.82</v>
      </c>
      <c r="AC429">
        <v>427</v>
      </c>
      <c r="AD429" s="4">
        <v>0.11712563901854947</v>
      </c>
      <c r="AF429">
        <v>427</v>
      </c>
      <c r="AG429" s="4">
        <v>6.7560673535690978E-3</v>
      </c>
      <c r="AI429">
        <v>427</v>
      </c>
      <c r="AJ429" s="4">
        <v>6.8740840561073522E-3</v>
      </c>
    </row>
    <row r="430" spans="1:36" x14ac:dyDescent="0.35">
      <c r="A430" vm="868">
        <f ca="1"/>
        <v>45916</v>
      </c>
      <c r="B430" vm="869">
        <f ca="1"/>
        <v>174.88</v>
      </c>
      <c r="C430" s="4">
        <f t="shared" ca="1" si="30"/>
        <v>-1.6146272855133641E-2</v>
      </c>
      <c r="D430" s="4">
        <f t="shared" ca="1" si="31"/>
        <v>-1.6278044255121804E-2</v>
      </c>
      <c r="E430" s="8">
        <f t="shared" ca="1" si="32"/>
        <v>-2.8700000000000045</v>
      </c>
      <c r="F430" s="8" vm="867">
        <f t="shared" ca="1" si="33"/>
        <v>177.75</v>
      </c>
      <c r="AC430">
        <v>428</v>
      </c>
      <c r="AD430" s="4">
        <v>4.5141123592890769E-2</v>
      </c>
      <c r="AF430">
        <v>428</v>
      </c>
      <c r="AG430" s="4">
        <v>6.8213452897963435E-3</v>
      </c>
      <c r="AI430">
        <v>428</v>
      </c>
      <c r="AJ430" s="4">
        <v>8.117139270187472E-3</v>
      </c>
    </row>
    <row r="431" spans="1:36" x14ac:dyDescent="0.35">
      <c r="A431" vm="870">
        <f ca="1"/>
        <v>45917</v>
      </c>
      <c r="B431" vm="871">
        <f ca="1"/>
        <v>170.29</v>
      </c>
      <c r="C431" s="4">
        <f t="shared" ca="1" si="30"/>
        <v>-2.6246569075937805E-2</v>
      </c>
      <c r="D431" s="4">
        <f t="shared" ca="1" si="31"/>
        <v>-2.6597158389715183E-2</v>
      </c>
      <c r="E431" s="8">
        <f t="shared" ca="1" si="32"/>
        <v>-4.5900000000000034</v>
      </c>
      <c r="F431" s="8" vm="869">
        <f t="shared" ca="1" si="33"/>
        <v>174.88</v>
      </c>
      <c r="AC431">
        <v>429</v>
      </c>
      <c r="AD431" s="4">
        <v>4.2424417016541649E-2</v>
      </c>
      <c r="AF431">
        <v>429</v>
      </c>
      <c r="AG431" s="4">
        <v>6.7022804400054901E-3</v>
      </c>
      <c r="AI431">
        <v>429</v>
      </c>
      <c r="AJ431" s="4">
        <v>6.6311004541361627E-3</v>
      </c>
    </row>
    <row r="432" spans="1:36" x14ac:dyDescent="0.35">
      <c r="A432" vm="872">
        <f ca="1"/>
        <v>45918</v>
      </c>
      <c r="B432" vm="873">
        <f ca="1"/>
        <v>176.24</v>
      </c>
      <c r="C432" s="4">
        <f t="shared" ca="1" si="30"/>
        <v>3.4940395795407933E-2</v>
      </c>
      <c r="D432" s="4">
        <f t="shared" ca="1" si="31"/>
        <v>3.4343836455574553E-2</v>
      </c>
      <c r="E432" s="8">
        <f t="shared" ca="1" si="32"/>
        <v>5.9500000000000171</v>
      </c>
      <c r="F432" s="8" vm="871">
        <f t="shared" ca="1" si="33"/>
        <v>170.29</v>
      </c>
      <c r="AC432">
        <v>430</v>
      </c>
      <c r="AD432" s="4">
        <v>5.8970797981891442E-2</v>
      </c>
      <c r="AF432">
        <v>430</v>
      </c>
      <c r="AG432" s="4">
        <v>6.8243695903508128E-3</v>
      </c>
      <c r="AI432">
        <v>430</v>
      </c>
      <c r="AJ432" s="4">
        <v>6.9046506070388871E-3</v>
      </c>
    </row>
    <row r="433" spans="1:36" x14ac:dyDescent="0.35">
      <c r="A433" vm="874">
        <f ca="1"/>
        <v>45919</v>
      </c>
      <c r="B433" vm="875">
        <f ca="1"/>
        <v>176.67</v>
      </c>
      <c r="C433" s="4">
        <f t="shared" ca="1" si="30"/>
        <v>2.4398547435314252E-3</v>
      </c>
      <c r="D433" s="4">
        <f t="shared" ca="1" si="31"/>
        <v>2.4368831305012152E-3</v>
      </c>
      <c r="E433" s="8">
        <f t="shared" ca="1" si="32"/>
        <v>0.4299999999999784</v>
      </c>
      <c r="F433" s="8" vm="873">
        <f t="shared" ca="1" si="33"/>
        <v>176.24</v>
      </c>
      <c r="AC433">
        <v>431</v>
      </c>
      <c r="AD433" s="4">
        <v>7.6919456280722831E-2</v>
      </c>
      <c r="AF433">
        <v>431</v>
      </c>
      <c r="AG433" s="4">
        <v>6.7955577454932555E-3</v>
      </c>
      <c r="AI433">
        <v>431</v>
      </c>
      <c r="AJ433" s="4">
        <v>7.3882066251363286E-3</v>
      </c>
    </row>
    <row r="434" spans="1:36" x14ac:dyDescent="0.35">
      <c r="A434" vm="876">
        <f ca="1"/>
        <v>45922</v>
      </c>
      <c r="B434" vm="877">
        <f ca="1"/>
        <v>183.61</v>
      </c>
      <c r="C434" s="4">
        <f t="shared" ca="1" si="30"/>
        <v>3.9282277692873867E-2</v>
      </c>
      <c r="D434" s="4">
        <f t="shared" ca="1" si="31"/>
        <v>3.8530357309506651E-2</v>
      </c>
      <c r="E434" s="8">
        <f t="shared" ca="1" si="32"/>
        <v>6.9400000000000261</v>
      </c>
      <c r="F434" s="8" vm="875">
        <f t="shared" ca="1" si="33"/>
        <v>176.67</v>
      </c>
      <c r="AC434">
        <v>432</v>
      </c>
      <c r="AD434" s="4">
        <v>7.1286882924519526E-2</v>
      </c>
      <c r="AF434">
        <v>432</v>
      </c>
      <c r="AG434" s="4">
        <v>6.8555044180052841E-3</v>
      </c>
      <c r="AI434">
        <v>432</v>
      </c>
      <c r="AJ434" s="4">
        <v>7.9068220966683374E-3</v>
      </c>
    </row>
    <row r="435" spans="1:36" x14ac:dyDescent="0.35">
      <c r="A435" vm="878">
        <f ca="1"/>
        <v>45923</v>
      </c>
      <c r="B435" vm="879">
        <f ca="1"/>
        <v>178.43</v>
      </c>
      <c r="C435" s="4">
        <f t="shared" ca="1" si="30"/>
        <v>-2.8211971025543306E-2</v>
      </c>
      <c r="D435" s="4">
        <f t="shared" ca="1" si="31"/>
        <v>-2.8617575490758253E-2</v>
      </c>
      <c r="E435" s="8">
        <f t="shared" ca="1" si="32"/>
        <v>-5.1800000000000068</v>
      </c>
      <c r="F435" s="8" vm="877">
        <f t="shared" ca="1" si="33"/>
        <v>183.61</v>
      </c>
      <c r="AC435">
        <v>433</v>
      </c>
      <c r="AD435" s="4">
        <v>0.19150313113533196</v>
      </c>
      <c r="AF435">
        <v>433</v>
      </c>
      <c r="AG435" s="4">
        <v>6.7842772653768368E-3</v>
      </c>
      <c r="AI435">
        <v>433</v>
      </c>
      <c r="AJ435" s="4">
        <v>6.7642505702145729E-3</v>
      </c>
    </row>
    <row r="436" spans="1:36" x14ac:dyDescent="0.35">
      <c r="A436" vm="880">
        <f ca="1"/>
        <v>45924</v>
      </c>
      <c r="B436" vm="881">
        <f ca="1"/>
        <v>176.97</v>
      </c>
      <c r="C436" s="4">
        <f t="shared" ca="1" si="30"/>
        <v>-8.1824805245755087E-3</v>
      </c>
      <c r="D436" s="4">
        <f t="shared" ca="1" si="31"/>
        <v>-8.2161407602438057E-3</v>
      </c>
      <c r="E436" s="8">
        <f t="shared" ca="1" si="32"/>
        <v>-1.460000000000008</v>
      </c>
      <c r="F436" s="8" vm="879">
        <f t="shared" ca="1" si="33"/>
        <v>178.43</v>
      </c>
      <c r="AC436">
        <v>434</v>
      </c>
      <c r="AD436" s="4">
        <v>9.506355468998505E-2</v>
      </c>
      <c r="AF436">
        <v>434</v>
      </c>
      <c r="AG436" s="4">
        <v>6.7797406740032059E-3</v>
      </c>
      <c r="AI436">
        <v>434</v>
      </c>
      <c r="AJ436" s="4">
        <v>7.1408007743564757E-3</v>
      </c>
    </row>
    <row r="437" spans="1:36" x14ac:dyDescent="0.35">
      <c r="A437" vm="882">
        <f ca="1"/>
        <v>45925</v>
      </c>
      <c r="B437" vm="883">
        <f ca="1"/>
        <v>177.69</v>
      </c>
      <c r="C437" s="4">
        <f t="shared" ca="1" si="30"/>
        <v>4.0684861840989935E-3</v>
      </c>
      <c r="D437" s="4">
        <f t="shared" ca="1" si="31"/>
        <v>4.0602322738898374E-3</v>
      </c>
      <c r="E437" s="8">
        <f t="shared" ca="1" si="32"/>
        <v>0.71999999999999886</v>
      </c>
      <c r="F437" s="8" vm="881">
        <f t="shared" ca="1" si="33"/>
        <v>176.97</v>
      </c>
      <c r="AC437">
        <v>435</v>
      </c>
      <c r="AD437" s="4">
        <v>4.9600766197954185E-2</v>
      </c>
      <c r="AF437">
        <v>435</v>
      </c>
      <c r="AG437" s="4">
        <v>6.8222922459550478E-3</v>
      </c>
      <c r="AI437">
        <v>435</v>
      </c>
      <c r="AJ437" s="4">
        <v>7.5561289147905832E-3</v>
      </c>
    </row>
    <row r="438" spans="1:36" x14ac:dyDescent="0.35">
      <c r="A438" vm="884">
        <f ca="1"/>
        <v>45926</v>
      </c>
      <c r="B438" vm="885">
        <f ca="1"/>
        <v>178.19</v>
      </c>
      <c r="C438" s="4">
        <f t="shared" ca="1" si="30"/>
        <v>2.8138893578704485E-3</v>
      </c>
      <c r="D438" s="4">
        <f t="shared" ca="1" si="31"/>
        <v>2.8099377823398229E-3</v>
      </c>
      <c r="E438" s="8">
        <f t="shared" ca="1" si="32"/>
        <v>0.5</v>
      </c>
      <c r="F438" s="8" vm="883">
        <f t="shared" ca="1" si="33"/>
        <v>177.69</v>
      </c>
      <c r="AC438">
        <v>436</v>
      </c>
      <c r="AD438" s="4">
        <v>4.4152960620254519E-2</v>
      </c>
      <c r="AF438">
        <v>436</v>
      </c>
      <c r="AG438" s="4">
        <v>6.7711007261100015E-3</v>
      </c>
      <c r="AI438">
        <v>436</v>
      </c>
      <c r="AJ438" s="4">
        <v>7.1222090544263506E-3</v>
      </c>
    </row>
    <row r="439" spans="1:36" x14ac:dyDescent="0.35">
      <c r="A439" vm="886">
        <f ca="1"/>
        <v>45929</v>
      </c>
      <c r="B439" vm="887">
        <f ca="1"/>
        <v>181.85</v>
      </c>
      <c r="C439" s="4">
        <f t="shared" ca="1" si="30"/>
        <v>2.0539873169089156E-2</v>
      </c>
      <c r="D439" s="4">
        <f t="shared" ca="1" si="31"/>
        <v>2.0331774693674635E-2</v>
      </c>
      <c r="E439" s="8">
        <f t="shared" ca="1" si="32"/>
        <v>3.6599999999999966</v>
      </c>
      <c r="F439" s="8" vm="885">
        <f t="shared" ca="1" si="33"/>
        <v>178.19</v>
      </c>
      <c r="AC439">
        <v>437</v>
      </c>
      <c r="AD439" s="4">
        <v>0.15090340741349342</v>
      </c>
      <c r="AF439">
        <v>437</v>
      </c>
      <c r="AG439" s="4">
        <v>6.7880930582516538E-3</v>
      </c>
      <c r="AI439">
        <v>437</v>
      </c>
      <c r="AJ439" s="4">
        <v>7.4851936683733101E-3</v>
      </c>
    </row>
    <row r="440" spans="1:36" x14ac:dyDescent="0.35">
      <c r="A440" vm="888">
        <f ca="1"/>
        <v>45930</v>
      </c>
      <c r="B440" vm="889">
        <f ca="1"/>
        <v>186.58</v>
      </c>
      <c r="C440" s="4">
        <f t="shared" ca="1" si="30"/>
        <v>2.6010448171570076E-2</v>
      </c>
      <c r="D440" s="4">
        <f t="shared" ca="1" si="31"/>
        <v>2.5677930099817125E-2</v>
      </c>
      <c r="E440" s="8">
        <f t="shared" ca="1" si="32"/>
        <v>4.7300000000000182</v>
      </c>
      <c r="F440" s="8" vm="887">
        <f t="shared" ca="1" si="33"/>
        <v>181.85</v>
      </c>
      <c r="AC440">
        <v>438</v>
      </c>
      <c r="AD440" s="4">
        <v>0.11027846970409663</v>
      </c>
      <c r="AF440">
        <v>438</v>
      </c>
      <c r="AG440" s="4">
        <v>6.6736414758574456E-3</v>
      </c>
      <c r="AI440">
        <v>438</v>
      </c>
      <c r="AJ440" s="4">
        <v>6.2011072552243607E-3</v>
      </c>
    </row>
    <row r="441" spans="1:36" x14ac:dyDescent="0.35">
      <c r="A441" vm="890">
        <f ca="1"/>
        <v>45931</v>
      </c>
      <c r="B441" vm="12">
        <f ca="1"/>
        <v>187.24</v>
      </c>
      <c r="C441" s="4">
        <f t="shared" ca="1" si="30"/>
        <v>3.537356629863847E-3</v>
      </c>
      <c r="D441" s="4">
        <f t="shared" ca="1" si="31"/>
        <v>3.531114899054744E-3</v>
      </c>
      <c r="E441" s="8">
        <f t="shared" ca="1" si="32"/>
        <v>0.65999999999999659</v>
      </c>
      <c r="F441" s="8" vm="889">
        <f t="shared" ca="1" si="33"/>
        <v>186.58</v>
      </c>
      <c r="AC441">
        <v>439</v>
      </c>
      <c r="AD441" s="4">
        <v>5.0403077301829927E-2</v>
      </c>
      <c r="AF441">
        <v>439</v>
      </c>
      <c r="AG441" s="4">
        <v>6.7789729897796171E-3</v>
      </c>
      <c r="AI441">
        <v>439</v>
      </c>
      <c r="AJ441" s="4">
        <v>7.2799935379951808E-3</v>
      </c>
    </row>
    <row r="442" spans="1:36" x14ac:dyDescent="0.35">
      <c r="A442" vm="891">
        <f ca="1"/>
        <v>45932</v>
      </c>
      <c r="B442" vm="892">
        <f ca="1"/>
        <v>188.89</v>
      </c>
      <c r="C442" s="4">
        <f t="shared" ca="1" si="30"/>
        <v>8.8122196111940672E-3</v>
      </c>
      <c r="D442" s="4">
        <f t="shared" ca="1" si="31"/>
        <v>8.7736186118584185E-3</v>
      </c>
      <c r="E442" s="8">
        <f t="shared" ca="1" si="32"/>
        <v>1.6499999999999773</v>
      </c>
      <c r="F442" s="8" vm="12">
        <f t="shared" ca="1" si="33"/>
        <v>187.24</v>
      </c>
      <c r="AC442">
        <v>440</v>
      </c>
      <c r="AD442" s="4">
        <v>5.4388562007438655E-2</v>
      </c>
      <c r="AF442">
        <v>440</v>
      </c>
      <c r="AG442" s="4">
        <v>6.8547562909047682E-3</v>
      </c>
      <c r="AI442">
        <v>440</v>
      </c>
      <c r="AJ442" s="4">
        <v>6.3243038108271562E-3</v>
      </c>
    </row>
    <row r="443" spans="1:36" x14ac:dyDescent="0.35">
      <c r="A443" vm="893">
        <f ca="1"/>
        <v>45933</v>
      </c>
      <c r="B443" vm="894">
        <f ca="1"/>
        <v>187.62</v>
      </c>
      <c r="C443" s="4">
        <f t="shared" ca="1" si="30"/>
        <v>-6.7234898618242465E-3</v>
      </c>
      <c r="D443" s="4">
        <f t="shared" ca="1" si="31"/>
        <v>-6.746194345923261E-3</v>
      </c>
      <c r="E443" s="8">
        <f t="shared" ca="1" si="32"/>
        <v>-1.2699999999999818</v>
      </c>
      <c r="F443" s="8" vm="892">
        <f t="shared" ca="1" si="33"/>
        <v>188.89</v>
      </c>
      <c r="AC443">
        <v>441</v>
      </c>
      <c r="AD443" s="4">
        <v>7.2255505028492345E-2</v>
      </c>
      <c r="AF443">
        <v>441</v>
      </c>
      <c r="AG443" s="4">
        <v>6.8273240202403017E-3</v>
      </c>
      <c r="AI443">
        <v>441</v>
      </c>
      <c r="AJ443" s="4">
        <v>6.6772508813753512E-3</v>
      </c>
    </row>
    <row r="444" spans="1:36" x14ac:dyDescent="0.35">
      <c r="A444" vm="895">
        <f ca="1"/>
        <v>45936</v>
      </c>
      <c r="B444" vm="896">
        <f ca="1"/>
        <v>185.54</v>
      </c>
      <c r="C444" s="4">
        <f t="shared" ca="1" si="30"/>
        <v>-1.1086238140923209E-2</v>
      </c>
      <c r="D444" s="4">
        <f t="shared" ca="1" si="31"/>
        <v>-1.1148148472679576E-2</v>
      </c>
      <c r="E444" s="8">
        <f t="shared" ca="1" si="32"/>
        <v>-2.0800000000000125</v>
      </c>
      <c r="F444" s="8" vm="894">
        <f t="shared" ca="1" si="33"/>
        <v>187.62</v>
      </c>
      <c r="AC444">
        <v>442</v>
      </c>
      <c r="AD444" s="4">
        <v>0.117244106764953</v>
      </c>
      <c r="AF444">
        <v>442</v>
      </c>
      <c r="AG444" s="4">
        <v>6.7737101036924735E-3</v>
      </c>
      <c r="AI444">
        <v>442</v>
      </c>
      <c r="AJ444" s="4">
        <v>9.6096886478486618E-3</v>
      </c>
    </row>
    <row r="445" spans="1:36" x14ac:dyDescent="0.35">
      <c r="A445" vm="897">
        <f ca="1"/>
        <v>45937</v>
      </c>
      <c r="B445" vm="20">
        <f ca="1"/>
        <v>185.04</v>
      </c>
      <c r="C445" s="4">
        <f t="shared" ca="1" si="30"/>
        <v>-2.6948366928964108E-3</v>
      </c>
      <c r="D445" s="4">
        <f t="shared" ca="1" si="31"/>
        <v>-2.6984743019416776E-3</v>
      </c>
      <c r="E445" s="8">
        <f t="shared" ca="1" si="32"/>
        <v>-0.5</v>
      </c>
      <c r="F445" s="8" vm="896">
        <f t="shared" ca="1" si="33"/>
        <v>185.54</v>
      </c>
      <c r="AC445">
        <v>443</v>
      </c>
      <c r="AD445" s="4">
        <v>2.9420670091677696E-2</v>
      </c>
      <c r="AF445">
        <v>443</v>
      </c>
      <c r="AG445" s="4">
        <v>6.8288257248255825E-3</v>
      </c>
      <c r="AI445">
        <v>443</v>
      </c>
      <c r="AJ445" s="4">
        <v>9.2302520663815786E-3</v>
      </c>
    </row>
    <row r="446" spans="1:36" x14ac:dyDescent="0.35">
      <c r="A446" vm="898">
        <f ca="1"/>
        <v>45938</v>
      </c>
      <c r="B446" vm="16">
        <f ca="1"/>
        <v>189.11</v>
      </c>
      <c r="C446" s="4">
        <f t="shared" ca="1" si="30"/>
        <v>2.1995244271508979E-2</v>
      </c>
      <c r="D446" s="4">
        <f t="shared" ca="1" si="31"/>
        <v>2.1756838415997942E-2</v>
      </c>
      <c r="E446" s="8">
        <f t="shared" ca="1" si="32"/>
        <v>4.0700000000000216</v>
      </c>
      <c r="F446" s="8" vm="20">
        <f t="shared" ca="1" si="33"/>
        <v>185.04</v>
      </c>
      <c r="AC446">
        <v>444</v>
      </c>
      <c r="AD446" s="4">
        <v>7.454646858331497E-2</v>
      </c>
      <c r="AF446">
        <v>444</v>
      </c>
      <c r="AG446" s="4">
        <v>6.8187584216277434E-3</v>
      </c>
      <c r="AI446">
        <v>444</v>
      </c>
      <c r="AJ446" s="4">
        <v>6.627858814081811E-3</v>
      </c>
    </row>
    <row r="447" spans="1:36" x14ac:dyDescent="0.35">
      <c r="A447" vm="899">
        <f ca="1"/>
        <v>45939</v>
      </c>
      <c r="B447" vm="900">
        <f ca="1"/>
        <v>192.57</v>
      </c>
      <c r="C447" s="4">
        <f t="shared" ca="1" si="30"/>
        <v>1.829622970757749E-2</v>
      </c>
      <c r="D447" s="4">
        <f t="shared" ca="1" si="31"/>
        <v>1.8130867652614829E-2</v>
      </c>
      <c r="E447" s="8">
        <f t="shared" ca="1" si="32"/>
        <v>3.4599999999999795</v>
      </c>
      <c r="F447" s="8" vm="16">
        <f t="shared" ca="1" si="33"/>
        <v>189.11</v>
      </c>
      <c r="AC447">
        <v>445</v>
      </c>
      <c r="AD447" s="4">
        <v>6.0884724630288781E-2</v>
      </c>
      <c r="AF447">
        <v>445</v>
      </c>
      <c r="AG447" s="4">
        <v>6.7206483221211952E-3</v>
      </c>
      <c r="AI447">
        <v>445</v>
      </c>
      <c r="AJ447" s="4">
        <v>5.3654807987745358E-3</v>
      </c>
    </row>
    <row r="448" spans="1:36" x14ac:dyDescent="0.35">
      <c r="A448" vm="901">
        <f ca="1"/>
        <v>45940</v>
      </c>
      <c r="B448" vm="822">
        <f ca="1"/>
        <v>183.16</v>
      </c>
      <c r="C448" s="4">
        <f t="shared" ca="1" si="30"/>
        <v>-4.8865347665783855E-2</v>
      </c>
      <c r="D448" s="4">
        <f t="shared" ca="1" si="31"/>
        <v>-5.0099636202901775E-2</v>
      </c>
      <c r="E448" s="8">
        <f t="shared" ca="1" si="32"/>
        <v>-9.4099999999999966</v>
      </c>
      <c r="F448" s="8" vm="900">
        <f t="shared" ca="1" si="33"/>
        <v>192.57</v>
      </c>
      <c r="AC448">
        <v>446</v>
      </c>
      <c r="AD448" s="4">
        <v>3.0679867531479998E-2</v>
      </c>
      <c r="AF448">
        <v>446</v>
      </c>
      <c r="AG448" s="4">
        <v>6.7958901645739532E-3</v>
      </c>
      <c r="AI448">
        <v>446</v>
      </c>
      <c r="AJ448" s="4">
        <v>7.0550767536193774E-3</v>
      </c>
    </row>
    <row r="449" spans="1:36" x14ac:dyDescent="0.35">
      <c r="A449" vm="902">
        <f ca="1"/>
        <v>45943</v>
      </c>
      <c r="B449" vm="903">
        <f ca="1"/>
        <v>188.32</v>
      </c>
      <c r="C449" s="4">
        <f t="shared" ca="1" si="30"/>
        <v>2.8172089975977269E-2</v>
      </c>
      <c r="D449" s="4">
        <f t="shared" ca="1" si="31"/>
        <v>2.7782555723071794E-2</v>
      </c>
      <c r="E449" s="8">
        <f t="shared" ca="1" si="32"/>
        <v>5.1599999999999966</v>
      </c>
      <c r="F449" s="8" vm="822">
        <f t="shared" ca="1" si="33"/>
        <v>183.16</v>
      </c>
      <c r="AC449">
        <v>447</v>
      </c>
      <c r="AD449" s="4">
        <v>6.6089470938572786E-2</v>
      </c>
      <c r="AF449">
        <v>447</v>
      </c>
      <c r="AG449" s="4">
        <v>6.7318319444453186E-3</v>
      </c>
      <c r="AI449">
        <v>447</v>
      </c>
      <c r="AJ449" s="4">
        <v>6.1754615898667728E-3</v>
      </c>
    </row>
    <row r="450" spans="1:36" x14ac:dyDescent="0.35">
      <c r="A450" vm="904">
        <f ca="1"/>
        <v>45944</v>
      </c>
      <c r="B450" vm="905">
        <f ca="1"/>
        <v>180.03</v>
      </c>
      <c r="C450" s="4">
        <f t="shared" ca="1" si="30"/>
        <v>-4.4020815632965123E-2</v>
      </c>
      <c r="D450" s="4">
        <f t="shared" ca="1" si="31"/>
        <v>-4.5019139842435364E-2</v>
      </c>
      <c r="E450" s="8">
        <f t="shared" ca="1" si="32"/>
        <v>-8.289999999999992</v>
      </c>
      <c r="F450" s="8" vm="903">
        <f t="shared" ca="1" si="33"/>
        <v>188.32</v>
      </c>
      <c r="AC450">
        <v>448</v>
      </c>
      <c r="AD450" s="4">
        <v>9.487931807733474E-2</v>
      </c>
      <c r="AF450">
        <v>448</v>
      </c>
      <c r="AG450" s="4">
        <v>6.8946144240354086E-3</v>
      </c>
      <c r="AI450">
        <v>448</v>
      </c>
      <c r="AJ450" s="4">
        <v>6.8391817099168802E-3</v>
      </c>
    </row>
    <row r="451" spans="1:36" x14ac:dyDescent="0.35">
      <c r="A451" vm="906">
        <f ca="1"/>
        <v>45945</v>
      </c>
      <c r="B451" vm="907">
        <f ca="1"/>
        <v>179.83</v>
      </c>
      <c r="C451" s="4">
        <f t="shared" ca="1" si="30"/>
        <v>-1.1109259567849172E-3</v>
      </c>
      <c r="D451" s="4">
        <f t="shared" ca="1" si="31"/>
        <v>-1.1115434924256463E-3</v>
      </c>
      <c r="E451" s="8">
        <f t="shared" ca="1" si="32"/>
        <v>-0.19999999999998863</v>
      </c>
      <c r="F451" s="8" vm="905">
        <f t="shared" ca="1" si="33"/>
        <v>180.03</v>
      </c>
      <c r="AC451">
        <v>449</v>
      </c>
      <c r="AD451" s="4">
        <v>6.1630316781913719E-2</v>
      </c>
      <c r="AF451">
        <v>449</v>
      </c>
      <c r="AG451" s="4">
        <v>6.8186380823666423E-3</v>
      </c>
      <c r="AI451">
        <v>449</v>
      </c>
      <c r="AJ451" s="4">
        <v>5.7839756412875996E-3</v>
      </c>
    </row>
    <row r="452" spans="1:36" x14ac:dyDescent="0.35">
      <c r="A452" vm="908">
        <f ca="1"/>
        <v>45946</v>
      </c>
      <c r="B452" vm="909">
        <f ca="1"/>
        <v>181.81</v>
      </c>
      <c r="C452" s="4">
        <f t="shared" ca="1" si="30"/>
        <v>1.1010398709892618E-2</v>
      </c>
      <c r="D452" s="4">
        <f t="shared" ca="1" si="31"/>
        <v>1.0950225554075873E-2</v>
      </c>
      <c r="E452" s="8">
        <f t="shared" ca="1" si="32"/>
        <v>1.9799999999999898</v>
      </c>
      <c r="F452" s="8" vm="907">
        <f t="shared" ca="1" si="33"/>
        <v>179.83</v>
      </c>
      <c r="AC452">
        <v>450</v>
      </c>
      <c r="AD452" s="4">
        <v>1.947369928203687E-2</v>
      </c>
      <c r="AF452">
        <v>450</v>
      </c>
      <c r="AG452" s="4">
        <v>6.6377822262058813E-3</v>
      </c>
      <c r="AI452">
        <v>450</v>
      </c>
      <c r="AJ452" s="4">
        <v>7.727400469684933E-3</v>
      </c>
    </row>
    <row r="453" spans="1:36" x14ac:dyDescent="0.35">
      <c r="A453" vm="910">
        <f ca="1"/>
        <v>45947</v>
      </c>
      <c r="B453" vm="911">
        <f ca="1"/>
        <v>183.22</v>
      </c>
      <c r="C453" s="4">
        <f t="shared" ref="C453:C504" ca="1" si="34">IFERROR((B453-B452)/B452,C452)</f>
        <v>7.7553489907045631E-3</v>
      </c>
      <c r="D453" s="4">
        <f t="shared" ref="D453:D504" ca="1" si="35">IFERROR(LN(B453/B452),D452)</f>
        <v>7.7254308558810866E-3</v>
      </c>
      <c r="E453" s="8">
        <f t="shared" ref="E453:E504" ca="1" si="36">IFERROR(B453-B452,0)</f>
        <v>1.4099999999999966</v>
      </c>
      <c r="F453" s="8" vm="909">
        <f t="shared" ref="F453:F504" ca="1" si="37">IFERROR(B452,F452)</f>
        <v>181.81</v>
      </c>
      <c r="AC453">
        <v>451</v>
      </c>
      <c r="AD453" s="4">
        <v>0.1260312869358054</v>
      </c>
      <c r="AF453">
        <v>451</v>
      </c>
      <c r="AG453" s="4">
        <v>6.8119477827938918E-3</v>
      </c>
      <c r="AI453">
        <v>451</v>
      </c>
      <c r="AJ453" s="4">
        <v>6.5989672161758323E-3</v>
      </c>
    </row>
    <row r="454" spans="1:36" x14ac:dyDescent="0.35">
      <c r="A454" vm="912">
        <f ca="1"/>
        <v>45950</v>
      </c>
      <c r="B454" vm="913">
        <f ca="1"/>
        <v>182.64</v>
      </c>
      <c r="C454" s="4">
        <f t="shared" ca="1" si="34"/>
        <v>-3.1655932758433169E-3</v>
      </c>
      <c r="D454" s="4">
        <f t="shared" ca="1" si="35"/>
        <v>-3.1706143655225736E-3</v>
      </c>
      <c r="E454" s="8">
        <f t="shared" ca="1" si="36"/>
        <v>-0.58000000000001251</v>
      </c>
      <c r="F454" s="8" vm="911">
        <f t="shared" ca="1" si="37"/>
        <v>183.22</v>
      </c>
      <c r="AC454">
        <v>452</v>
      </c>
      <c r="AD454" s="4">
        <v>4.1971149602316425E-2</v>
      </c>
      <c r="AF454">
        <v>452</v>
      </c>
      <c r="AG454" s="4">
        <v>6.7777399524287189E-3</v>
      </c>
      <c r="AI454">
        <v>452</v>
      </c>
      <c r="AJ454" s="4">
        <v>9.1260879033974434E-3</v>
      </c>
    </row>
    <row r="455" spans="1:36" x14ac:dyDescent="0.35">
      <c r="A455" vm="914">
        <f ca="1"/>
        <v>45951</v>
      </c>
      <c r="B455" vm="915">
        <f ca="1"/>
        <v>181.16</v>
      </c>
      <c r="C455" s="4">
        <f t="shared" ca="1" si="34"/>
        <v>-8.1033727551466806E-3</v>
      </c>
      <c r="D455" s="4">
        <f t="shared" ca="1" si="35"/>
        <v>-8.1363835335269506E-3</v>
      </c>
      <c r="E455" s="8">
        <f t="shared" ca="1" si="36"/>
        <v>-1.4799999999999898</v>
      </c>
      <c r="F455" s="8" vm="913">
        <f t="shared" ca="1" si="37"/>
        <v>182.64</v>
      </c>
      <c r="AC455">
        <v>453</v>
      </c>
      <c r="AD455" s="4">
        <v>4.1687332419129294E-2</v>
      </c>
      <c r="AF455">
        <v>453</v>
      </c>
      <c r="AG455" s="4">
        <v>6.8259738205699054E-3</v>
      </c>
      <c r="AI455">
        <v>453</v>
      </c>
      <c r="AJ455" s="4">
        <v>6.605927767819794E-3</v>
      </c>
    </row>
    <row r="456" spans="1:36" x14ac:dyDescent="0.35">
      <c r="A456" vm="916">
        <f ca="1"/>
        <v>45952</v>
      </c>
      <c r="B456" vm="917">
        <f ca="1"/>
        <v>180.28</v>
      </c>
      <c r="C456" s="4">
        <f t="shared" ca="1" si="34"/>
        <v>-4.8575844557297168E-3</v>
      </c>
      <c r="D456" s="4">
        <f t="shared" ca="1" si="35"/>
        <v>-4.8694208655655552E-3</v>
      </c>
      <c r="E456" s="8">
        <f t="shared" ca="1" si="36"/>
        <v>-0.87999999999999545</v>
      </c>
      <c r="F456" s="8" vm="915">
        <f t="shared" ca="1" si="37"/>
        <v>181.16</v>
      </c>
      <c r="AC456">
        <v>454</v>
      </c>
      <c r="AD456" s="4">
        <v>3.5224078439553906E-2</v>
      </c>
      <c r="AF456">
        <v>454</v>
      </c>
      <c r="AG456" s="4">
        <v>6.7862137757679691E-3</v>
      </c>
      <c r="AI456">
        <v>454</v>
      </c>
      <c r="AJ456" s="4">
        <v>7.2841141181554103E-3</v>
      </c>
    </row>
    <row r="457" spans="1:36" x14ac:dyDescent="0.35">
      <c r="A457" vm="918">
        <f ca="1"/>
        <v>45953</v>
      </c>
      <c r="B457" vm="919">
        <f ca="1"/>
        <v>182.16</v>
      </c>
      <c r="C457" s="4">
        <f t="shared" ca="1" si="34"/>
        <v>1.0428222764588393E-2</v>
      </c>
      <c r="D457" s="4">
        <f t="shared" ca="1" si="35"/>
        <v>1.0374223933036669E-2</v>
      </c>
      <c r="E457" s="8">
        <f t="shared" ca="1" si="36"/>
        <v>1.8799999999999955</v>
      </c>
      <c r="F457" s="8" vm="917">
        <f t="shared" ca="1" si="37"/>
        <v>180.28</v>
      </c>
      <c r="AC457">
        <v>455</v>
      </c>
      <c r="AD457" s="4">
        <v>4.0560931036102588E-2</v>
      </c>
      <c r="AF457">
        <v>455</v>
      </c>
      <c r="AG457" s="4">
        <v>6.7795265656329434E-3</v>
      </c>
      <c r="AI457">
        <v>455</v>
      </c>
      <c r="AJ457" s="4">
        <v>7.5137894174709778E-3</v>
      </c>
    </row>
    <row r="458" spans="1:36" x14ac:dyDescent="0.35">
      <c r="A458" vm="920">
        <f ca="1"/>
        <v>45954</v>
      </c>
      <c r="B458" vm="921">
        <f ca="1"/>
        <v>186.26</v>
      </c>
      <c r="C458" s="4">
        <f t="shared" ca="1" si="34"/>
        <v>2.2507685551163781E-2</v>
      </c>
      <c r="D458" s="4">
        <f t="shared" ca="1" si="35"/>
        <v>2.2258125338027658E-2</v>
      </c>
      <c r="E458" s="8">
        <f t="shared" ca="1" si="36"/>
        <v>4.0999999999999943</v>
      </c>
      <c r="F458" s="8" vm="919">
        <f t="shared" ca="1" si="37"/>
        <v>182.16</v>
      </c>
      <c r="AC458">
        <v>456</v>
      </c>
      <c r="AD458" s="4">
        <v>7.3268906308791848E-2</v>
      </c>
      <c r="AF458">
        <v>456</v>
      </c>
      <c r="AG458" s="4">
        <v>6.7272437323892811E-3</v>
      </c>
      <c r="AI458">
        <v>456</v>
      </c>
      <c r="AJ458" s="4">
        <v>7.5139867823740486E-3</v>
      </c>
    </row>
    <row r="459" spans="1:36" x14ac:dyDescent="0.35">
      <c r="A459" vm="922">
        <f ca="1"/>
        <v>45957</v>
      </c>
      <c r="B459" vm="923">
        <f ca="1"/>
        <v>191.49</v>
      </c>
      <c r="C459" s="4">
        <f t="shared" ca="1" si="34"/>
        <v>2.8079029313862441E-2</v>
      </c>
      <c r="D459" s="4">
        <f t="shared" ca="1" si="35"/>
        <v>2.769204084256395E-2</v>
      </c>
      <c r="E459" s="8">
        <f t="shared" ca="1" si="36"/>
        <v>5.2300000000000182</v>
      </c>
      <c r="F459" s="8" vm="921">
        <f t="shared" ca="1" si="37"/>
        <v>186.26</v>
      </c>
      <c r="AC459">
        <v>457</v>
      </c>
      <c r="AD459" s="4">
        <v>0.15538330643754844</v>
      </c>
      <c r="AF459">
        <v>457</v>
      </c>
      <c r="AG459" s="4">
        <v>6.737608367143314E-3</v>
      </c>
      <c r="AI459">
        <v>457</v>
      </c>
      <c r="AJ459" s="4">
        <v>6.1367352116445308E-3</v>
      </c>
    </row>
    <row r="460" spans="1:36" x14ac:dyDescent="0.35">
      <c r="A460" vm="924">
        <f ca="1"/>
        <v>45958</v>
      </c>
      <c r="B460" vm="925">
        <f ca="1"/>
        <v>201.03</v>
      </c>
      <c r="C460" s="4">
        <f t="shared" ca="1" si="34"/>
        <v>4.9819833933886844E-2</v>
      </c>
      <c r="D460" s="4">
        <f t="shared" ca="1" si="35"/>
        <v>4.8618562717113407E-2</v>
      </c>
      <c r="E460" s="8">
        <f t="shared" ca="1" si="36"/>
        <v>9.539999999999992</v>
      </c>
      <c r="F460" s="8" vm="923">
        <f t="shared" ca="1" si="37"/>
        <v>191.49</v>
      </c>
      <c r="AC460">
        <v>458</v>
      </c>
      <c r="AD460" s="4">
        <v>3.4144676680108309E-2</v>
      </c>
      <c r="AF460">
        <v>458</v>
      </c>
      <c r="AG460" s="4">
        <v>6.6732708282097953E-3</v>
      </c>
      <c r="AI460">
        <v>458</v>
      </c>
      <c r="AJ460" s="4">
        <v>7.9853999598671899E-3</v>
      </c>
    </row>
    <row r="461" spans="1:36" x14ac:dyDescent="0.35">
      <c r="A461" vm="926">
        <f ca="1"/>
        <v>45959</v>
      </c>
      <c r="B461" vm="927">
        <f ca="1"/>
        <v>207.04</v>
      </c>
      <c r="C461" s="4">
        <f t="shared" ca="1" si="34"/>
        <v>2.9896035417599318E-2</v>
      </c>
      <c r="D461" s="4">
        <f t="shared" ca="1" si="35"/>
        <v>2.9457860659346562E-2</v>
      </c>
      <c r="E461" s="8">
        <f t="shared" ca="1" si="36"/>
        <v>6.0099999999999909</v>
      </c>
      <c r="F461" s="8" vm="925">
        <f t="shared" ca="1" si="37"/>
        <v>201.03</v>
      </c>
      <c r="AC461">
        <v>459</v>
      </c>
      <c r="AD461" s="4">
        <v>2.8987596006235555E-2</v>
      </c>
      <c r="AF461">
        <v>459</v>
      </c>
      <c r="AG461" s="4">
        <v>6.7361142377800245E-3</v>
      </c>
      <c r="AI461">
        <v>459</v>
      </c>
      <c r="AJ461" s="4">
        <v>6.2419907145302191E-3</v>
      </c>
    </row>
    <row r="462" spans="1:36" x14ac:dyDescent="0.35">
      <c r="A462" vm="928">
        <f ca="1"/>
        <v>45960</v>
      </c>
      <c r="B462" vm="929">
        <f ca="1"/>
        <v>202.89</v>
      </c>
      <c r="C462" s="4">
        <f t="shared" ca="1" si="34"/>
        <v>-2.0044435857805284E-2</v>
      </c>
      <c r="D462" s="4">
        <f t="shared" ca="1" si="35"/>
        <v>-2.0248051057577456E-2</v>
      </c>
      <c r="E462" s="8">
        <f t="shared" ca="1" si="36"/>
        <v>-4.1500000000000057</v>
      </c>
      <c r="F462" s="8" vm="927">
        <f t="shared" ca="1" si="37"/>
        <v>207.04</v>
      </c>
      <c r="AC462">
        <v>460</v>
      </c>
      <c r="AD462" s="4">
        <v>7.6658934318863628E-2</v>
      </c>
      <c r="AF462">
        <v>460</v>
      </c>
      <c r="AG462" s="4">
        <v>6.8091182419324275E-3</v>
      </c>
      <c r="AI462">
        <v>460</v>
      </c>
      <c r="AJ462" s="4">
        <v>7.9045095651438784E-3</v>
      </c>
    </row>
    <row r="463" spans="1:36" x14ac:dyDescent="0.35">
      <c r="A463" vm="930">
        <f ca="1"/>
        <v>45961</v>
      </c>
      <c r="B463" vm="931">
        <f ca="1"/>
        <v>202.49</v>
      </c>
      <c r="C463" s="4">
        <f t="shared" ca="1" si="34"/>
        <v>-1.9715116565625574E-3</v>
      </c>
      <c r="D463" s="4">
        <f t="shared" ca="1" si="35"/>
        <v>-1.97345764378013E-3</v>
      </c>
      <c r="E463" s="8">
        <f t="shared" ca="1" si="36"/>
        <v>-0.39999999999997726</v>
      </c>
      <c r="F463" s="8" vm="929">
        <f t="shared" ca="1" si="37"/>
        <v>202.89</v>
      </c>
      <c r="AC463">
        <v>461</v>
      </c>
      <c r="AD463" s="4">
        <v>9.7343521158013077E-2</v>
      </c>
      <c r="AF463">
        <v>461</v>
      </c>
      <c r="AG463" s="4">
        <v>6.8096009517493146E-3</v>
      </c>
      <c r="AI463">
        <v>461</v>
      </c>
      <c r="AJ463" s="4">
        <v>7.1984333520656116E-3</v>
      </c>
    </row>
    <row r="464" spans="1:36" x14ac:dyDescent="0.35">
      <c r="A464" vm="932">
        <f ca="1"/>
        <v>45964</v>
      </c>
      <c r="B464" vm="933">
        <f ca="1"/>
        <v>206.88</v>
      </c>
      <c r="C464" s="4">
        <f t="shared" ca="1" si="34"/>
        <v>2.1680082967060033E-2</v>
      </c>
      <c r="D464" s="4">
        <f t="shared" ca="1" si="35"/>
        <v>2.1448412412369298E-2</v>
      </c>
      <c r="E464" s="8">
        <f t="shared" ca="1" si="36"/>
        <v>4.3899999999999864</v>
      </c>
      <c r="F464" s="8" vm="931">
        <f t="shared" ca="1" si="37"/>
        <v>202.49</v>
      </c>
      <c r="AC464">
        <v>462</v>
      </c>
      <c r="AD464" s="4">
        <v>6.3645507525242256E-2</v>
      </c>
      <c r="AF464">
        <v>462</v>
      </c>
      <c r="AG464" s="4">
        <v>6.9099618058953947E-3</v>
      </c>
      <c r="AI464">
        <v>462</v>
      </c>
      <c r="AJ464" s="4">
        <v>7.6211702904557359E-3</v>
      </c>
    </row>
    <row r="465" spans="1:36" x14ac:dyDescent="0.35">
      <c r="A465" vm="934">
        <f ca="1"/>
        <v>45965</v>
      </c>
      <c r="B465" vm="935">
        <f ca="1"/>
        <v>198.69</v>
      </c>
      <c r="C465" s="4">
        <f t="shared" ca="1" si="34"/>
        <v>-3.9588167053364258E-2</v>
      </c>
      <c r="D465" s="4">
        <f t="shared" ca="1" si="35"/>
        <v>-4.0393093858549521E-2</v>
      </c>
      <c r="E465" s="8">
        <f t="shared" ca="1" si="36"/>
        <v>-8.1899999999999977</v>
      </c>
      <c r="F465" s="8" vm="933">
        <f t="shared" ca="1" si="37"/>
        <v>206.88</v>
      </c>
      <c r="AC465">
        <v>463</v>
      </c>
      <c r="AD465" s="4">
        <v>3.0142032414481219E-2</v>
      </c>
      <c r="AF465">
        <v>463</v>
      </c>
      <c r="AG465" s="4">
        <v>6.6605611213498284E-3</v>
      </c>
      <c r="AI465">
        <v>463</v>
      </c>
      <c r="AJ465" s="4">
        <v>8.3372066139353208E-3</v>
      </c>
    </row>
    <row r="466" spans="1:36" x14ac:dyDescent="0.35">
      <c r="A466" vm="936">
        <f ca="1"/>
        <v>45966</v>
      </c>
      <c r="B466" vm="937">
        <f ca="1"/>
        <v>195.21</v>
      </c>
      <c r="C466" s="4">
        <f t="shared" ca="1" si="34"/>
        <v>-1.7514721425335899E-2</v>
      </c>
      <c r="D466" s="4">
        <f t="shared" ca="1" si="35"/>
        <v>-1.7669918989995363E-2</v>
      </c>
      <c r="E466" s="8">
        <f t="shared" ca="1" si="36"/>
        <v>-3.4799999999999898</v>
      </c>
      <c r="F466" s="8" vm="935">
        <f t="shared" ca="1" si="37"/>
        <v>198.69</v>
      </c>
      <c r="AC466">
        <v>464</v>
      </c>
      <c r="AD466" s="4">
        <v>3.184450435115295E-2</v>
      </c>
      <c r="AF466">
        <v>464</v>
      </c>
      <c r="AG466" s="4">
        <v>6.8041405915691931E-3</v>
      </c>
      <c r="AI466">
        <v>464</v>
      </c>
      <c r="AJ466" s="4">
        <v>7.2024754434929289E-3</v>
      </c>
    </row>
    <row r="467" spans="1:36" x14ac:dyDescent="0.35">
      <c r="A467" vm="938">
        <f ca="1"/>
        <v>45967</v>
      </c>
      <c r="B467" vm="939">
        <f ca="1"/>
        <v>188.08</v>
      </c>
      <c r="C467" s="4">
        <f t="shared" ca="1" si="34"/>
        <v>-3.6524768198350467E-2</v>
      </c>
      <c r="D467" s="4">
        <f t="shared" ca="1" si="35"/>
        <v>-3.7208497943188312E-2</v>
      </c>
      <c r="E467" s="8">
        <f t="shared" ca="1" si="36"/>
        <v>-7.1299999999999955</v>
      </c>
      <c r="F467" s="8" vm="937">
        <f t="shared" ca="1" si="37"/>
        <v>195.21</v>
      </c>
      <c r="AC467">
        <v>465</v>
      </c>
      <c r="AD467" s="4">
        <v>0.13067624685421469</v>
      </c>
      <c r="AF467">
        <v>465</v>
      </c>
      <c r="AG467" s="4">
        <v>6.8784707874654941E-3</v>
      </c>
      <c r="AI467">
        <v>465</v>
      </c>
      <c r="AJ467" s="4">
        <v>7.5175305966292683E-3</v>
      </c>
    </row>
    <row r="468" spans="1:36" x14ac:dyDescent="0.35">
      <c r="A468" vm="940">
        <f ca="1"/>
        <v>45968</v>
      </c>
      <c r="B468" vm="941">
        <f ca="1"/>
        <v>188.15</v>
      </c>
      <c r="C468" s="4">
        <f t="shared" ca="1" si="34"/>
        <v>3.721820501913716E-4</v>
      </c>
      <c r="D468" s="4">
        <f t="shared" ca="1" si="35"/>
        <v>3.7211280763218863E-4</v>
      </c>
      <c r="E468" s="8">
        <f t="shared" ca="1" si="36"/>
        <v>6.9999999999993179E-2</v>
      </c>
      <c r="F468" s="8" vm="939">
        <f t="shared" ca="1" si="37"/>
        <v>188.08</v>
      </c>
      <c r="AC468">
        <v>466</v>
      </c>
      <c r="AD468" s="4">
        <v>4.8559318381457633E-2</v>
      </c>
      <c r="AF468">
        <v>466</v>
      </c>
      <c r="AG468" s="4">
        <v>6.7601194455824713E-3</v>
      </c>
      <c r="AI468">
        <v>466</v>
      </c>
      <c r="AJ468" s="4">
        <v>6.8977510510462728E-3</v>
      </c>
    </row>
    <row r="469" spans="1:36" x14ac:dyDescent="0.35">
      <c r="A469" vm="942">
        <f ca="1"/>
        <v>45971</v>
      </c>
      <c r="B469" vm="943">
        <f ca="1"/>
        <v>199.05</v>
      </c>
      <c r="C469" s="4">
        <f t="shared" ca="1" si="34"/>
        <v>5.7932500664363569E-2</v>
      </c>
      <c r="D469" s="4">
        <f t="shared" ca="1" si="35"/>
        <v>5.6316532406880018E-2</v>
      </c>
      <c r="E469" s="8">
        <f t="shared" ca="1" si="36"/>
        <v>10.900000000000006</v>
      </c>
      <c r="F469" s="8" vm="941">
        <f t="shared" ca="1" si="37"/>
        <v>188.15</v>
      </c>
      <c r="AC469">
        <v>467</v>
      </c>
      <c r="AD469" s="4">
        <v>0.10169699731770616</v>
      </c>
      <c r="AF469">
        <v>467</v>
      </c>
      <c r="AG469" s="4">
        <v>6.6730177656269896E-3</v>
      </c>
      <c r="AI469">
        <v>467</v>
      </c>
      <c r="AJ469" s="4">
        <v>6.9947609280201105E-3</v>
      </c>
    </row>
    <row r="470" spans="1:36" x14ac:dyDescent="0.35">
      <c r="A470" vm="944">
        <f ca="1"/>
        <v>45972</v>
      </c>
      <c r="B470" vm="945">
        <f ca="1"/>
        <v>193.16</v>
      </c>
      <c r="C470" s="4">
        <f t="shared" ca="1" si="34"/>
        <v>-2.959055513690035E-2</v>
      </c>
      <c r="D470" s="4">
        <f t="shared" ca="1" si="35"/>
        <v>-3.003718844098513E-2</v>
      </c>
      <c r="E470" s="8">
        <f t="shared" ca="1" si="36"/>
        <v>-5.8900000000000148</v>
      </c>
      <c r="F470" s="8" vm="943">
        <f t="shared" ca="1" si="37"/>
        <v>199.05</v>
      </c>
      <c r="AC470">
        <v>468</v>
      </c>
      <c r="AD470" s="4">
        <v>4.0713390399937988E-2</v>
      </c>
      <c r="AF470">
        <v>468</v>
      </c>
      <c r="AG470" s="4">
        <v>6.7158303693084379E-3</v>
      </c>
      <c r="AI470">
        <v>468</v>
      </c>
      <c r="AJ470" s="4">
        <v>9.3246224556267302E-3</v>
      </c>
    </row>
    <row r="471" spans="1:36" x14ac:dyDescent="0.35">
      <c r="A471" vm="946">
        <f ca="1"/>
        <v>45973</v>
      </c>
      <c r="B471" vm="947">
        <f ca="1"/>
        <v>193.8</v>
      </c>
      <c r="C471" s="4">
        <f t="shared" ca="1" si="34"/>
        <v>3.3133153862084015E-3</v>
      </c>
      <c r="D471" s="4">
        <f t="shared" ca="1" si="35"/>
        <v>3.3078384513247692E-3</v>
      </c>
      <c r="E471" s="8">
        <f t="shared" ca="1" si="36"/>
        <v>0.64000000000001478</v>
      </c>
      <c r="F471" s="8" vm="945">
        <f t="shared" ca="1" si="37"/>
        <v>193.16</v>
      </c>
      <c r="AC471">
        <v>469</v>
      </c>
      <c r="AD471" s="4">
        <v>9.0222885913127798E-2</v>
      </c>
      <c r="AF471">
        <v>469</v>
      </c>
      <c r="AG471" s="4">
        <v>6.7554806184512393E-3</v>
      </c>
      <c r="AI471">
        <v>469</v>
      </c>
      <c r="AJ471" s="4">
        <v>6.5489196975675647E-3</v>
      </c>
    </row>
    <row r="472" spans="1:36" x14ac:dyDescent="0.35">
      <c r="A472" vm="948">
        <f ca="1"/>
        <v>45974</v>
      </c>
      <c r="B472" vm="949">
        <f ca="1"/>
        <v>186.86</v>
      </c>
      <c r="C472" s="4">
        <f t="shared" ca="1" si="34"/>
        <v>-3.5810113519091837E-2</v>
      </c>
      <c r="D472" s="4">
        <f t="shared" ca="1" si="35"/>
        <v>-3.6467026091856238E-2</v>
      </c>
      <c r="E472" s="8">
        <f t="shared" ca="1" si="36"/>
        <v>-6.9399999999999977</v>
      </c>
      <c r="F472" s="8" vm="947">
        <f t="shared" ca="1" si="37"/>
        <v>193.8</v>
      </c>
      <c r="AC472">
        <v>470</v>
      </c>
      <c r="AD472" s="4">
        <v>8.5291431645341059E-2</v>
      </c>
      <c r="AF472">
        <v>470</v>
      </c>
      <c r="AG472" s="4">
        <v>6.8665509170073059E-3</v>
      </c>
      <c r="AI472">
        <v>470</v>
      </c>
      <c r="AJ472" s="4">
        <v>5.2148540057842608E-3</v>
      </c>
    </row>
    <row r="473" spans="1:36" x14ac:dyDescent="0.35">
      <c r="A473" vm="950">
        <f ca="1"/>
        <v>45975</v>
      </c>
      <c r="B473" vm="951">
        <f ca="1"/>
        <v>190.17</v>
      </c>
      <c r="C473" s="4">
        <f t="shared" ca="1" si="34"/>
        <v>1.7713796425130972E-2</v>
      </c>
      <c r="D473" s="4">
        <f t="shared" ca="1" si="35"/>
        <v>1.7558735599375073E-2</v>
      </c>
      <c r="E473" s="8">
        <f t="shared" ca="1" si="36"/>
        <v>3.3099999999999739</v>
      </c>
      <c r="F473" s="8" vm="949">
        <f t="shared" ca="1" si="37"/>
        <v>186.86</v>
      </c>
      <c r="AC473">
        <v>471</v>
      </c>
      <c r="AD473" s="4">
        <v>8.3142913540739619E-2</v>
      </c>
      <c r="AF473">
        <v>471</v>
      </c>
      <c r="AG473" s="4">
        <v>6.8198736914301403E-3</v>
      </c>
      <c r="AI473">
        <v>471</v>
      </c>
      <c r="AJ473" s="4">
        <v>6.4125709593409741E-3</v>
      </c>
    </row>
    <row r="474" spans="1:36" x14ac:dyDescent="0.35">
      <c r="A474" vm="952">
        <f ca="1"/>
        <v>45978</v>
      </c>
      <c r="B474" vm="953">
        <f ca="1"/>
        <v>186.6</v>
      </c>
      <c r="C474" s="4">
        <f t="shared" ca="1" si="34"/>
        <v>-1.87726770784035E-2</v>
      </c>
      <c r="D474" s="4">
        <f t="shared" ca="1" si="35"/>
        <v>-1.8951120550941194E-2</v>
      </c>
      <c r="E474" s="8">
        <f t="shared" ca="1" si="36"/>
        <v>-3.5699999999999932</v>
      </c>
      <c r="F474" s="8" vm="951">
        <f t="shared" ca="1" si="37"/>
        <v>190.17</v>
      </c>
      <c r="AC474">
        <v>472</v>
      </c>
      <c r="AD474" s="4">
        <v>3.608606168000697E-2</v>
      </c>
      <c r="AF474">
        <v>472</v>
      </c>
      <c r="AG474" s="4">
        <v>6.8008797581400023E-3</v>
      </c>
      <c r="AI474">
        <v>472</v>
      </c>
      <c r="AJ474" s="4">
        <v>6.2738835014031873E-3</v>
      </c>
    </row>
    <row r="475" spans="1:36" x14ac:dyDescent="0.35">
      <c r="A475" vm="954">
        <f ca="1"/>
        <v>45979</v>
      </c>
      <c r="B475" vm="955">
        <f ca="1"/>
        <v>181.36</v>
      </c>
      <c r="C475" s="4">
        <f t="shared" ca="1" si="34"/>
        <v>-2.8081457663451131E-2</v>
      </c>
      <c r="D475" s="4">
        <f t="shared" ca="1" si="35"/>
        <v>-2.848328221396982E-2</v>
      </c>
      <c r="E475" s="8">
        <f t="shared" ca="1" si="36"/>
        <v>-5.2399999999999807</v>
      </c>
      <c r="F475" s="8" vm="953">
        <f t="shared" ca="1" si="37"/>
        <v>186.6</v>
      </c>
      <c r="AC475">
        <v>473</v>
      </c>
      <c r="AD475" s="4">
        <v>0.11471428819008445</v>
      </c>
      <c r="AF475">
        <v>473</v>
      </c>
      <c r="AG475" s="4">
        <v>6.7481708973139657E-3</v>
      </c>
      <c r="AI475">
        <v>473</v>
      </c>
      <c r="AJ475" s="4">
        <v>6.8387761478447629E-3</v>
      </c>
    </row>
    <row r="476" spans="1:36" x14ac:dyDescent="0.35">
      <c r="A476" vm="956">
        <f ca="1"/>
        <v>45980</v>
      </c>
      <c r="B476" vm="957">
        <f ca="1"/>
        <v>186.52</v>
      </c>
      <c r="C476" s="4">
        <f t="shared" ca="1" si="34"/>
        <v>2.8451698279664733E-2</v>
      </c>
      <c r="D476" s="4">
        <f t="shared" ca="1" si="35"/>
        <v>2.8054465740846562E-2</v>
      </c>
      <c r="E476" s="8">
        <f t="shared" ca="1" si="36"/>
        <v>5.1599999999999966</v>
      </c>
      <c r="F476" s="8" vm="955">
        <f t="shared" ca="1" si="37"/>
        <v>181.36</v>
      </c>
      <c r="AC476">
        <v>474</v>
      </c>
      <c r="AD476" s="4">
        <v>4.0791888992568207E-2</v>
      </c>
      <c r="AF476">
        <v>474</v>
      </c>
      <c r="AG476" s="4">
        <v>6.7488409279725355E-3</v>
      </c>
      <c r="AI476">
        <v>474</v>
      </c>
      <c r="AJ476" s="4">
        <v>7.1038746413094036E-3</v>
      </c>
    </row>
    <row r="477" spans="1:36" x14ac:dyDescent="0.35">
      <c r="A477" vm="958">
        <f ca="1"/>
        <v>45981</v>
      </c>
      <c r="B477" vm="959">
        <f ca="1"/>
        <v>180.64</v>
      </c>
      <c r="C477" s="4">
        <f t="shared" ca="1" si="34"/>
        <v>-3.1524769461720052E-2</v>
      </c>
      <c r="D477" s="4">
        <f t="shared" ca="1" si="35"/>
        <v>-3.2032371538768305E-2</v>
      </c>
      <c r="E477" s="8">
        <f t="shared" ca="1" si="36"/>
        <v>-5.8800000000000239</v>
      </c>
      <c r="F477" s="8" vm="957">
        <f t="shared" ca="1" si="37"/>
        <v>186.52</v>
      </c>
      <c r="AC477">
        <v>475</v>
      </c>
      <c r="AD477" s="4">
        <v>6.7251994189742592E-2</v>
      </c>
      <c r="AF477">
        <v>475</v>
      </c>
      <c r="AG477" s="4">
        <v>6.780916209215118E-3</v>
      </c>
      <c r="AI477">
        <v>475</v>
      </c>
      <c r="AJ477" s="4">
        <v>6.9626115098136094E-3</v>
      </c>
    </row>
    <row r="478" spans="1:36" x14ac:dyDescent="0.35">
      <c r="A478" vm="960">
        <f ca="1"/>
        <v>45982</v>
      </c>
      <c r="B478" vm="961">
        <f ca="1"/>
        <v>178.88</v>
      </c>
      <c r="C478" s="4">
        <f t="shared" ca="1" si="34"/>
        <v>-9.7431355181576123E-3</v>
      </c>
      <c r="D478" s="4">
        <f t="shared" ca="1" si="35"/>
        <v>-9.7909104346175276E-3</v>
      </c>
      <c r="E478" s="8">
        <f t="shared" ca="1" si="36"/>
        <v>-1.7599999999999909</v>
      </c>
      <c r="F478" s="8" vm="959">
        <f t="shared" ca="1" si="37"/>
        <v>180.64</v>
      </c>
      <c r="AC478">
        <v>476</v>
      </c>
      <c r="AD478" s="4">
        <v>9.4771090920615614E-2</v>
      </c>
      <c r="AF478">
        <v>476</v>
      </c>
      <c r="AG478" s="4">
        <v>6.704955392810256E-3</v>
      </c>
      <c r="AI478">
        <v>476</v>
      </c>
      <c r="AJ478" s="4">
        <v>9.5272229337535676E-3</v>
      </c>
    </row>
    <row r="479" spans="1:36" x14ac:dyDescent="0.35">
      <c r="A479" vm="962">
        <f ca="1"/>
        <v>45985</v>
      </c>
      <c r="B479" vm="963">
        <f ca="1"/>
        <v>182.55</v>
      </c>
      <c r="C479" s="4">
        <f t="shared" ca="1" si="34"/>
        <v>2.0516547406082379E-2</v>
      </c>
      <c r="D479" s="4">
        <f t="shared" ca="1" si="35"/>
        <v>2.0308918134911681E-2</v>
      </c>
      <c r="E479" s="8">
        <f t="shared" ca="1" si="36"/>
        <v>3.6700000000000159</v>
      </c>
      <c r="F479" s="8" vm="961">
        <f t="shared" ca="1" si="37"/>
        <v>178.88</v>
      </c>
      <c r="AC479">
        <v>477</v>
      </c>
      <c r="AD479" s="4">
        <v>2.3927675825835191E-2</v>
      </c>
      <c r="AF479">
        <v>477</v>
      </c>
      <c r="AG479" s="4">
        <v>6.8412185048589902E-3</v>
      </c>
      <c r="AI479">
        <v>477</v>
      </c>
      <c r="AJ479" s="4">
        <v>6.2824513434895342E-3</v>
      </c>
    </row>
    <row r="480" spans="1:36" x14ac:dyDescent="0.35">
      <c r="A480" vm="964">
        <f ca="1"/>
        <v>45986</v>
      </c>
      <c r="B480" vm="865">
        <f ca="1"/>
        <v>177.82</v>
      </c>
      <c r="C480" s="4">
        <f t="shared" ca="1" si="34"/>
        <v>-2.5910709394686485E-2</v>
      </c>
      <c r="D480" s="4">
        <f t="shared" ca="1" si="35"/>
        <v>-2.6252305408653101E-2</v>
      </c>
      <c r="E480" s="8">
        <f t="shared" ca="1" si="36"/>
        <v>-4.7300000000000182</v>
      </c>
      <c r="F480" s="8" vm="963">
        <f t="shared" ca="1" si="37"/>
        <v>182.55</v>
      </c>
      <c r="AC480">
        <v>478</v>
      </c>
      <c r="AD480" s="4">
        <v>5.9311834729650695E-2</v>
      </c>
      <c r="AF480">
        <v>478</v>
      </c>
      <c r="AG480" s="4">
        <v>6.8406165700047681E-3</v>
      </c>
      <c r="AI480">
        <v>478</v>
      </c>
      <c r="AJ480" s="4">
        <v>7.3635920418279634E-3</v>
      </c>
    </row>
    <row r="481" spans="1:36" x14ac:dyDescent="0.35">
      <c r="A481" vm="965">
        <f ca="1"/>
        <v>45987</v>
      </c>
      <c r="B481" vm="966">
        <f ca="1"/>
        <v>180.26</v>
      </c>
      <c r="C481" s="4">
        <f t="shared" ca="1" si="34"/>
        <v>1.3721741086491946E-2</v>
      </c>
      <c r="D481" s="4">
        <f t="shared" ca="1" si="35"/>
        <v>1.3628450435270884E-2</v>
      </c>
      <c r="E481" s="8">
        <f t="shared" ca="1" si="36"/>
        <v>2.4399999999999977</v>
      </c>
      <c r="F481" s="8" vm="865">
        <f t="shared" ca="1" si="37"/>
        <v>177.82</v>
      </c>
      <c r="AC481">
        <v>479</v>
      </c>
      <c r="AD481" s="4">
        <v>6.595588157523842E-2</v>
      </c>
      <c r="AF481">
        <v>479</v>
      </c>
      <c r="AG481" s="4">
        <v>6.772322560524951E-3</v>
      </c>
      <c r="AI481">
        <v>479</v>
      </c>
      <c r="AJ481" s="4">
        <v>7.1651703748597563E-3</v>
      </c>
    </row>
    <row r="482" spans="1:36" x14ac:dyDescent="0.35">
      <c r="A482" vm="967">
        <f ca="1"/>
        <v>45989</v>
      </c>
      <c r="B482" vm="968">
        <f ca="1"/>
        <v>177</v>
      </c>
      <c r="C482" s="4">
        <f t="shared" ca="1" si="34"/>
        <v>-1.8084988350160831E-2</v>
      </c>
      <c r="D482" s="4">
        <f t="shared" ca="1" si="35"/>
        <v>-1.8250520554434511E-2</v>
      </c>
      <c r="E482" s="8">
        <f t="shared" ca="1" si="36"/>
        <v>-3.2599999999999909</v>
      </c>
      <c r="F482" s="8" vm="966">
        <f t="shared" ca="1" si="37"/>
        <v>180.26</v>
      </c>
      <c r="AC482">
        <v>480</v>
      </c>
      <c r="AD482" s="4">
        <v>1.3647239827088514E-2</v>
      </c>
      <c r="AF482">
        <v>480</v>
      </c>
      <c r="AG482" s="4">
        <v>6.7205692287272776E-3</v>
      </c>
      <c r="AI482">
        <v>480</v>
      </c>
      <c r="AJ482" s="4">
        <v>6.22910245101462E-3</v>
      </c>
    </row>
    <row r="483" spans="1:36" x14ac:dyDescent="0.35">
      <c r="A483" vm="969">
        <f ca="1"/>
        <v>45992</v>
      </c>
      <c r="B483" vm="970">
        <f ca="1"/>
        <v>179.92</v>
      </c>
      <c r="C483" s="4">
        <f t="shared" ca="1" si="34"/>
        <v>1.6497175141242867E-2</v>
      </c>
      <c r="D483" s="4">
        <f t="shared" ca="1" si="35"/>
        <v>1.636257507723099E-2</v>
      </c>
      <c r="E483" s="8">
        <f t="shared" ca="1" si="36"/>
        <v>2.9199999999999875</v>
      </c>
      <c r="F483" s="8" vm="968">
        <f t="shared" ca="1" si="37"/>
        <v>177</v>
      </c>
      <c r="AC483">
        <v>481</v>
      </c>
      <c r="AD483" s="4">
        <v>3.356232255724842E-2</v>
      </c>
      <c r="AF483">
        <v>481</v>
      </c>
      <c r="AG483" s="4">
        <v>6.8259933592130263E-3</v>
      </c>
      <c r="AI483">
        <v>481</v>
      </c>
      <c r="AJ483" s="4">
        <v>7.3752771923401737E-3</v>
      </c>
    </row>
    <row r="484" spans="1:36" x14ac:dyDescent="0.35">
      <c r="A484" vm="971">
        <f ca="1"/>
        <v>45993</v>
      </c>
      <c r="B484" vm="972">
        <f ca="1"/>
        <v>181.46</v>
      </c>
      <c r="C484" s="4">
        <f t="shared" ca="1" si="34"/>
        <v>8.5593597154291941E-3</v>
      </c>
      <c r="D484" s="4">
        <f t="shared" ca="1" si="35"/>
        <v>8.5229360904227405E-3</v>
      </c>
      <c r="E484" s="8">
        <f t="shared" ca="1" si="36"/>
        <v>1.5400000000000205</v>
      </c>
      <c r="F484" s="8" vm="970">
        <f t="shared" ca="1" si="37"/>
        <v>179.92</v>
      </c>
      <c r="AC484">
        <v>482</v>
      </c>
      <c r="AD484" s="4">
        <v>8.7619304786027766E-2</v>
      </c>
      <c r="AF484">
        <v>482</v>
      </c>
      <c r="AG484" s="4">
        <v>6.8493111709274556E-3</v>
      </c>
      <c r="AI484">
        <v>482</v>
      </c>
      <c r="AJ484" s="4">
        <v>6.121772305792925E-3</v>
      </c>
    </row>
    <row r="485" spans="1:36" x14ac:dyDescent="0.35">
      <c r="A485" vm="973">
        <f ca="1"/>
        <v>45994</v>
      </c>
      <c r="B485" vm="974">
        <f ca="1"/>
        <v>179.59</v>
      </c>
      <c r="C485" s="4">
        <f t="shared" ca="1" si="34"/>
        <v>-1.0305301443844398E-2</v>
      </c>
      <c r="D485" s="4">
        <f t="shared" ca="1" si="35"/>
        <v>-1.0358768710837891E-2</v>
      </c>
      <c r="E485" s="8">
        <f t="shared" ca="1" si="36"/>
        <v>-1.8700000000000045</v>
      </c>
      <c r="F485" s="8" vm="972">
        <f t="shared" ca="1" si="37"/>
        <v>181.46</v>
      </c>
      <c r="AC485">
        <v>483</v>
      </c>
      <c r="AD485" s="4">
        <v>0.11311086446255809</v>
      </c>
      <c r="AF485">
        <v>483</v>
      </c>
      <c r="AG485" s="4">
        <v>6.76432901657463E-3</v>
      </c>
      <c r="AI485">
        <v>483</v>
      </c>
      <c r="AJ485" s="4">
        <v>6.3528008430533186E-3</v>
      </c>
    </row>
    <row r="486" spans="1:36" x14ac:dyDescent="0.35">
      <c r="A486" vm="975">
        <f ca="1"/>
        <v>45995</v>
      </c>
      <c r="B486" vm="976">
        <f ca="1"/>
        <v>183.38</v>
      </c>
      <c r="C486" s="4">
        <f t="shared" ca="1" si="34"/>
        <v>2.1103624923436672E-2</v>
      </c>
      <c r="D486" s="4">
        <f t="shared" ca="1" si="35"/>
        <v>2.0884027591109609E-2</v>
      </c>
      <c r="E486" s="8">
        <f t="shared" ca="1" si="36"/>
        <v>3.789999999999992</v>
      </c>
      <c r="F486" s="8" vm="974">
        <f t="shared" ca="1" si="37"/>
        <v>179.59</v>
      </c>
      <c r="AC486">
        <v>484</v>
      </c>
      <c r="AD486" s="4">
        <v>0.12923706045361008</v>
      </c>
      <c r="AF486">
        <v>484</v>
      </c>
      <c r="AG486" s="4">
        <v>6.8212054777773805E-3</v>
      </c>
      <c r="AI486">
        <v>484</v>
      </c>
      <c r="AJ486" s="4">
        <v>8.9928032174956818E-3</v>
      </c>
    </row>
    <row r="487" spans="1:36" x14ac:dyDescent="0.35">
      <c r="A487" vm="977">
        <f ca="1"/>
        <v>45996</v>
      </c>
      <c r="B487" vm="978">
        <f ca="1"/>
        <v>182.41</v>
      </c>
      <c r="C487" s="4">
        <f t="shared" ca="1" si="34"/>
        <v>-5.2895626567782683E-3</v>
      </c>
      <c r="D487" s="4">
        <f t="shared" ca="1" si="35"/>
        <v>-5.3036019229315322E-3</v>
      </c>
      <c r="E487" s="8">
        <f t="shared" ca="1" si="36"/>
        <v>-0.96999999999999886</v>
      </c>
      <c r="F487" s="8" vm="976">
        <f t="shared" ca="1" si="37"/>
        <v>183.38</v>
      </c>
      <c r="AC487">
        <v>485</v>
      </c>
      <c r="AD487" s="4">
        <v>0.11901997107559315</v>
      </c>
      <c r="AF487">
        <v>485</v>
      </c>
      <c r="AG487" s="4">
        <v>6.8312952360676743E-3</v>
      </c>
      <c r="AI487">
        <v>485</v>
      </c>
      <c r="AJ487" s="4">
        <v>6.6931665978414105E-3</v>
      </c>
    </row>
    <row r="488" spans="1:36" x14ac:dyDescent="0.35">
      <c r="A488" vm="979">
        <f ca="1"/>
        <v>45999</v>
      </c>
      <c r="B488" vm="980">
        <f ca="1"/>
        <v>185.55</v>
      </c>
      <c r="C488" s="4">
        <f t="shared" ca="1" si="34"/>
        <v>1.7213968532427033E-2</v>
      </c>
      <c r="D488" s="4">
        <f t="shared" ca="1" si="35"/>
        <v>1.7067486807783531E-2</v>
      </c>
      <c r="E488" s="8">
        <f t="shared" ca="1" si="36"/>
        <v>3.1400000000000148</v>
      </c>
      <c r="F488" s="8" vm="978">
        <f t="shared" ca="1" si="37"/>
        <v>182.41</v>
      </c>
      <c r="AC488">
        <v>486</v>
      </c>
      <c r="AD488" s="4">
        <v>3.1894663741783333E-2</v>
      </c>
      <c r="AF488">
        <v>486</v>
      </c>
      <c r="AG488" s="4">
        <v>6.8357255104584715E-3</v>
      </c>
      <c r="AI488">
        <v>486</v>
      </c>
      <c r="AJ488" s="4">
        <v>8.0104128050834875E-3</v>
      </c>
    </row>
    <row r="489" spans="1:36" x14ac:dyDescent="0.35">
      <c r="A489" vm="981">
        <f ca="1"/>
        <v>46000</v>
      </c>
      <c r="B489" vm="982">
        <f ca="1"/>
        <v>184.97</v>
      </c>
      <c r="C489" s="4">
        <f t="shared" ca="1" si="34"/>
        <v>-3.1258420910806385E-3</v>
      </c>
      <c r="D489" s="4">
        <f t="shared" ca="1" si="35"/>
        <v>-3.1307377401490854E-3</v>
      </c>
      <c r="E489" s="8">
        <f t="shared" ca="1" si="36"/>
        <v>-0.58000000000001251</v>
      </c>
      <c r="F489" s="8" vm="980">
        <f t="shared" ca="1" si="37"/>
        <v>185.55</v>
      </c>
      <c r="AC489">
        <v>487</v>
      </c>
      <c r="AD489" s="4">
        <v>9.786956858257842E-2</v>
      </c>
      <c r="AF489">
        <v>487</v>
      </c>
      <c r="AG489" s="4">
        <v>6.804999041501076E-3</v>
      </c>
      <c r="AI489">
        <v>487</v>
      </c>
      <c r="AJ489" s="4">
        <v>7.8440903598747738E-3</v>
      </c>
    </row>
    <row r="490" spans="1:36" x14ac:dyDescent="0.35">
      <c r="A490" vm="983">
        <f ca="1"/>
        <v>46001</v>
      </c>
      <c r="B490" vm="984">
        <f ca="1"/>
        <v>183.78</v>
      </c>
      <c r="C490" s="4">
        <f t="shared" ca="1" si="34"/>
        <v>-6.4334756987619495E-3</v>
      </c>
      <c r="D490" s="4">
        <f t="shared" ca="1" si="35"/>
        <v>-6.4542596937187469E-3</v>
      </c>
      <c r="E490" s="8">
        <f t="shared" ca="1" si="36"/>
        <v>-1.1899999999999977</v>
      </c>
      <c r="F490" s="8" vm="982">
        <f t="shared" ca="1" si="37"/>
        <v>184.97</v>
      </c>
      <c r="AC490">
        <v>488</v>
      </c>
      <c r="AD490" s="4">
        <v>2.5339952896228989E-2</v>
      </c>
      <c r="AF490">
        <v>488</v>
      </c>
      <c r="AG490" s="4">
        <v>6.7207664162311272E-3</v>
      </c>
      <c r="AI490">
        <v>488</v>
      </c>
      <c r="AJ490" s="4">
        <v>7.5854732224301495E-3</v>
      </c>
    </row>
    <row r="491" spans="1:36" x14ac:dyDescent="0.35">
      <c r="A491" vm="985">
        <f ca="1"/>
        <v>46002</v>
      </c>
      <c r="B491" vm="986">
        <f ca="1"/>
        <v>180.93</v>
      </c>
      <c r="C491" s="4">
        <f t="shared" ca="1" si="34"/>
        <v>-1.5507672216780902E-2</v>
      </c>
      <c r="D491" s="4">
        <f t="shared" ca="1" si="35"/>
        <v>-1.5629173941733798E-2</v>
      </c>
      <c r="E491" s="8">
        <f t="shared" ca="1" si="36"/>
        <v>-2.8499999999999943</v>
      </c>
      <c r="F491" s="8" vm="984">
        <f t="shared" ca="1" si="37"/>
        <v>183.78</v>
      </c>
      <c r="AC491">
        <v>489</v>
      </c>
      <c r="AD491" s="4">
        <v>9.215519612176451E-2</v>
      </c>
      <c r="AF491">
        <v>489</v>
      </c>
      <c r="AG491" s="4">
        <v>6.7255856524120923E-3</v>
      </c>
      <c r="AI491">
        <v>489</v>
      </c>
      <c r="AJ491" s="4">
        <v>5.8338163956895587E-3</v>
      </c>
    </row>
    <row r="492" spans="1:36" x14ac:dyDescent="0.35">
      <c r="A492" vm="987">
        <f ca="1"/>
        <v>46003</v>
      </c>
      <c r="B492" vm="988">
        <f ca="1"/>
        <v>175.02</v>
      </c>
      <c r="C492" s="4">
        <f t="shared" ca="1" si="34"/>
        <v>-3.2664566406897674E-2</v>
      </c>
      <c r="D492" s="4">
        <f t="shared" ca="1" si="35"/>
        <v>-3.3209963023319987E-2</v>
      </c>
      <c r="E492" s="8">
        <f t="shared" ca="1" si="36"/>
        <v>-5.9099999999999966</v>
      </c>
      <c r="F492" s="8" vm="986">
        <f t="shared" ca="1" si="37"/>
        <v>180.93</v>
      </c>
      <c r="AC492">
        <v>490</v>
      </c>
      <c r="AD492" s="4">
        <v>0.12654677288024441</v>
      </c>
      <c r="AF492">
        <v>490</v>
      </c>
      <c r="AG492" s="4">
        <v>6.8884421001147635E-3</v>
      </c>
      <c r="AI492">
        <v>490</v>
      </c>
      <c r="AJ492" s="4">
        <v>6.2332286406429757E-3</v>
      </c>
    </row>
    <row r="493" spans="1:36" x14ac:dyDescent="0.35">
      <c r="A493" vm="989">
        <f ca="1"/>
        <v>46006</v>
      </c>
      <c r="B493" vm="990">
        <f ca="1"/>
        <v>176.29</v>
      </c>
      <c r="C493" s="4">
        <f t="shared" ca="1" si="34"/>
        <v>7.256313564163991E-3</v>
      </c>
      <c r="D493" s="4">
        <f t="shared" ca="1" si="35"/>
        <v>7.2301131899667921E-3</v>
      </c>
      <c r="E493" s="8">
        <f t="shared" ca="1" si="36"/>
        <v>1.2699999999999818</v>
      </c>
      <c r="F493" s="8" vm="988">
        <f t="shared" ca="1" si="37"/>
        <v>175.02</v>
      </c>
      <c r="AC493">
        <v>491</v>
      </c>
      <c r="AD493" s="4">
        <v>0.19892593210833814</v>
      </c>
      <c r="AF493">
        <v>491</v>
      </c>
      <c r="AG493" s="4">
        <v>6.6960775437681173E-3</v>
      </c>
      <c r="AI493">
        <v>491</v>
      </c>
      <c r="AJ493" s="4">
        <v>6.1534328561926623E-3</v>
      </c>
    </row>
    <row r="494" spans="1:36" x14ac:dyDescent="0.35">
      <c r="A494" vm="991">
        <f ca="1"/>
        <v>46007</v>
      </c>
      <c r="B494" vm="992">
        <f ca="1"/>
        <v>177.72</v>
      </c>
      <c r="C494" s="4">
        <f t="shared" ca="1" si="34"/>
        <v>8.1116342390379886E-3</v>
      </c>
      <c r="D494" s="4">
        <f t="shared" ca="1" si="35"/>
        <v>8.0789117700556697E-3</v>
      </c>
      <c r="E494" s="8">
        <f t="shared" ca="1" si="36"/>
        <v>1.4300000000000068</v>
      </c>
      <c r="F494" s="8" vm="990">
        <f t="shared" ca="1" si="37"/>
        <v>176.29</v>
      </c>
      <c r="AC494">
        <v>492</v>
      </c>
      <c r="AD494" s="4">
        <v>5.9811662138384292E-2</v>
      </c>
      <c r="AF494">
        <v>492</v>
      </c>
      <c r="AG494" s="4">
        <v>6.7872457521972514E-3</v>
      </c>
      <c r="AI494">
        <v>492</v>
      </c>
      <c r="AJ494" s="4">
        <v>5.7032415962666788E-3</v>
      </c>
    </row>
    <row r="495" spans="1:36" x14ac:dyDescent="0.35">
      <c r="A495" vm="993">
        <f ca="1"/>
        <v>46008</v>
      </c>
      <c r="B495" vm="994">
        <f ca="1"/>
        <v>170.94</v>
      </c>
      <c r="C495" s="4">
        <f t="shared" ca="1" si="34"/>
        <v>-3.8149898717083061E-2</v>
      </c>
      <c r="D495" s="4">
        <f t="shared" ca="1" si="35"/>
        <v>-3.8896660329835825E-2</v>
      </c>
      <c r="E495" s="8">
        <f t="shared" ca="1" si="36"/>
        <v>-6.7800000000000011</v>
      </c>
      <c r="F495" s="8" vm="992">
        <f t="shared" ca="1" si="37"/>
        <v>177.72</v>
      </c>
      <c r="AC495">
        <v>493</v>
      </c>
      <c r="AD495" s="4">
        <v>1.4577136975968866E-2</v>
      </c>
      <c r="AF495">
        <v>493</v>
      </c>
      <c r="AG495" s="4">
        <v>6.8008900407855559E-3</v>
      </c>
      <c r="AI495">
        <v>493</v>
      </c>
      <c r="AJ495" s="4">
        <v>8.2217062333844754E-3</v>
      </c>
    </row>
    <row r="496" spans="1:36" x14ac:dyDescent="0.35">
      <c r="A496" vm="995">
        <f ca="1"/>
        <v>46009</v>
      </c>
      <c r="B496" vm="996">
        <f ca="1"/>
        <v>174.14</v>
      </c>
      <c r="C496" s="4">
        <f t="shared" ca="1" si="34"/>
        <v>1.8720018720018654E-2</v>
      </c>
      <c r="D496" s="4">
        <f t="shared" ca="1" si="35"/>
        <v>1.8546955662597609E-2</v>
      </c>
      <c r="E496" s="8">
        <f t="shared" ca="1" si="36"/>
        <v>3.1999999999999886</v>
      </c>
      <c r="F496" s="8" vm="994">
        <f t="shared" ca="1" si="37"/>
        <v>170.94</v>
      </c>
      <c r="AC496">
        <v>494</v>
      </c>
      <c r="AD496" s="4">
        <v>4.8920879340637838E-2</v>
      </c>
      <c r="AF496">
        <v>494</v>
      </c>
      <c r="AG496" s="4">
        <v>6.7718055787028171E-3</v>
      </c>
      <c r="AI496">
        <v>494</v>
      </c>
      <c r="AJ496" s="4">
        <v>6.1697308419954308E-3</v>
      </c>
    </row>
    <row r="497" spans="1:36" x14ac:dyDescent="0.35">
      <c r="A497" vm="997">
        <f ca="1"/>
        <v>46010</v>
      </c>
      <c r="B497" vm="998">
        <f ca="1"/>
        <v>180.99</v>
      </c>
      <c r="C497" s="4">
        <f t="shared" ca="1" si="34"/>
        <v>3.9336166302974755E-2</v>
      </c>
      <c r="D497" s="4">
        <f t="shared" ca="1" si="35"/>
        <v>3.8582207720310666E-2</v>
      </c>
      <c r="E497" s="8">
        <f t="shared" ca="1" si="36"/>
        <v>6.8500000000000227</v>
      </c>
      <c r="F497" s="8" vm="996">
        <f t="shared" ca="1" si="37"/>
        <v>174.14</v>
      </c>
      <c r="AC497">
        <v>495</v>
      </c>
      <c r="AD497" s="4">
        <v>5.9950371301006534E-2</v>
      </c>
      <c r="AF497">
        <v>495</v>
      </c>
      <c r="AG497" s="4">
        <v>6.675538182879171E-3</v>
      </c>
      <c r="AI497">
        <v>495</v>
      </c>
      <c r="AJ497" s="4">
        <v>6.6345053232427379E-3</v>
      </c>
    </row>
    <row r="498" spans="1:36" x14ac:dyDescent="0.35">
      <c r="A498" vm="999">
        <f ca="1"/>
        <v>46013</v>
      </c>
      <c r="B498" vm="1000">
        <f ca="1"/>
        <v>183.69</v>
      </c>
      <c r="C498" s="4">
        <f t="shared" ca="1" si="34"/>
        <v>1.4917951268025795E-2</v>
      </c>
      <c r="D498" s="4">
        <f t="shared" ca="1" si="35"/>
        <v>1.4807773037192643E-2</v>
      </c>
      <c r="E498" s="8">
        <f t="shared" ca="1" si="36"/>
        <v>2.6999999999999886</v>
      </c>
      <c r="F498" s="8" vm="998">
        <f t="shared" ca="1" si="37"/>
        <v>180.99</v>
      </c>
      <c r="AC498">
        <v>496</v>
      </c>
      <c r="AD498" s="4">
        <v>2.9518528623099116E-2</v>
      </c>
      <c r="AF498">
        <v>496</v>
      </c>
      <c r="AG498" s="4">
        <v>6.731153898711306E-3</v>
      </c>
      <c r="AI498">
        <v>496</v>
      </c>
      <c r="AJ498" s="4">
        <v>7.7492374937061766E-3</v>
      </c>
    </row>
    <row r="499" spans="1:36" x14ac:dyDescent="0.35">
      <c r="A499" vm="1001">
        <f ca="1"/>
        <v>46014</v>
      </c>
      <c r="B499" vm="1002">
        <f ca="1"/>
        <v>189.21</v>
      </c>
      <c r="C499" s="4">
        <f t="shared" ca="1" si="34"/>
        <v>3.0050628776743481E-2</v>
      </c>
      <c r="D499" s="4">
        <f t="shared" ca="1" si="35"/>
        <v>2.9607955185696779E-2</v>
      </c>
      <c r="E499" s="8">
        <f t="shared" ca="1" si="36"/>
        <v>5.5200000000000102</v>
      </c>
      <c r="F499" s="8" vm="1000">
        <f t="shared" ca="1" si="37"/>
        <v>183.69</v>
      </c>
      <c r="AC499">
        <v>497</v>
      </c>
      <c r="AD499" s="4">
        <v>3.2742322335227288E-2</v>
      </c>
      <c r="AF499">
        <v>497</v>
      </c>
      <c r="AG499" s="4">
        <v>6.7807865762488173E-3</v>
      </c>
      <c r="AI499">
        <v>497</v>
      </c>
      <c r="AJ499" s="4">
        <v>6.8850947260623739E-3</v>
      </c>
    </row>
    <row r="500" spans="1:36" x14ac:dyDescent="0.35">
      <c r="A500" vm="1003">
        <f ca="1"/>
        <v>46015</v>
      </c>
      <c r="B500" vm="1004">
        <f ca="1"/>
        <v>188.61</v>
      </c>
      <c r="C500" s="4">
        <f t="shared" ca="1" si="34"/>
        <v>-3.1710797526557492E-3</v>
      </c>
      <c r="D500" s="4">
        <f t="shared" ca="1" si="35"/>
        <v>-3.1761182805900893E-3</v>
      </c>
      <c r="E500" s="8">
        <f t="shared" ca="1" si="36"/>
        <v>-0.59999999999999432</v>
      </c>
      <c r="F500" s="8" vm="1002">
        <f t="shared" ca="1" si="37"/>
        <v>189.21</v>
      </c>
      <c r="AC500">
        <v>498</v>
      </c>
      <c r="AD500" s="4">
        <v>2.4772689478261511E-2</v>
      </c>
      <c r="AF500">
        <v>498</v>
      </c>
      <c r="AG500" s="4">
        <v>6.70466396281623E-3</v>
      </c>
      <c r="AI500">
        <v>498</v>
      </c>
      <c r="AJ500" s="4">
        <v>8.4379717740224857E-3</v>
      </c>
    </row>
    <row r="501" spans="1:36" x14ac:dyDescent="0.35">
      <c r="A501" vm="1005">
        <f ca="1"/>
        <v>46017</v>
      </c>
      <c r="B501" vm="1006">
        <f ca="1"/>
        <v>190.53</v>
      </c>
      <c r="C501" s="4">
        <f t="shared" ca="1" si="34"/>
        <v>1.017973596309839E-2</v>
      </c>
      <c r="D501" s="4">
        <f t="shared" ca="1" si="35"/>
        <v>1.0128271419913706E-2</v>
      </c>
      <c r="E501" s="8">
        <f t="shared" ca="1" si="36"/>
        <v>1.9199999999999875</v>
      </c>
      <c r="F501" s="8" vm="1004">
        <f t="shared" ca="1" si="37"/>
        <v>188.61</v>
      </c>
      <c r="AC501">
        <v>499</v>
      </c>
      <c r="AD501" s="4">
        <v>0.1450167680814814</v>
      </c>
      <c r="AF501">
        <v>499</v>
      </c>
      <c r="AG501" s="4">
        <v>6.8804242303299535E-3</v>
      </c>
      <c r="AI501">
        <v>499</v>
      </c>
      <c r="AJ501" s="4">
        <v>8.5271848566824664E-3</v>
      </c>
    </row>
    <row r="502" spans="1:36" x14ac:dyDescent="0.35">
      <c r="A502" vm="1007">
        <f ca="1"/>
        <v>46020</v>
      </c>
      <c r="B502" vm="1008">
        <f ca="1"/>
        <v>188.22</v>
      </c>
      <c r="C502" s="4">
        <f t="shared" ca="1" si="34"/>
        <v>-1.2124074948826969E-2</v>
      </c>
      <c r="D502" s="4">
        <f t="shared" ca="1" si="35"/>
        <v>-1.2198171052351379E-2</v>
      </c>
      <c r="E502" s="8">
        <f t="shared" ca="1" si="36"/>
        <v>-2.3100000000000023</v>
      </c>
      <c r="F502" s="8" vm="1006">
        <f t="shared" ca="1" si="37"/>
        <v>190.53</v>
      </c>
      <c r="AC502">
        <v>500</v>
      </c>
      <c r="AD502" s="4">
        <v>7.5242770556591704E-2</v>
      </c>
      <c r="AF502">
        <v>500</v>
      </c>
      <c r="AG502" s="4">
        <v>6.7568009267376357E-3</v>
      </c>
      <c r="AI502">
        <v>500</v>
      </c>
      <c r="AJ502" s="4">
        <v>6.5497971390589488E-3</v>
      </c>
    </row>
    <row r="503" spans="1:36" x14ac:dyDescent="0.35">
      <c r="A503" vm="1009">
        <f ca="1"/>
        <v>46021</v>
      </c>
      <c r="B503" vm="1010">
        <f ca="1"/>
        <v>187.54</v>
      </c>
      <c r="C503" s="4">
        <f t="shared" ca="1" si="34"/>
        <v>-3.6127935394751187E-3</v>
      </c>
      <c r="D503" s="4">
        <f t="shared" ca="1" si="35"/>
        <v>-3.6193354391626667E-3</v>
      </c>
      <c r="E503" s="8">
        <f t="shared" ca="1" si="36"/>
        <v>-0.68000000000000682</v>
      </c>
      <c r="F503" s="8" vm="1008">
        <f t="shared" ca="1" si="37"/>
        <v>188.22</v>
      </c>
    </row>
    <row r="504" spans="1:36" x14ac:dyDescent="0.35">
      <c r="A504" vm="1011">
        <f ca="1"/>
        <v>46022</v>
      </c>
      <c r="B504" vm="1012">
        <f ca="1"/>
        <v>186.5</v>
      </c>
      <c r="C504" s="4">
        <f t="shared" ca="1" si="34"/>
        <v>-5.5454836301588569E-3</v>
      </c>
      <c r="D504" s="4">
        <f t="shared" ca="1" si="35"/>
        <v>-5.5609169076088118E-3</v>
      </c>
      <c r="E504" s="8">
        <f t="shared" ca="1" si="36"/>
        <v>-1.039999999999992</v>
      </c>
      <c r="F504" s="8" vm="1010">
        <f t="shared" ca="1" si="37"/>
        <v>187.54</v>
      </c>
    </row>
  </sheetData>
  <mergeCells count="10">
    <mergeCell ref="N18:P18"/>
    <mergeCell ref="Z1:AA1"/>
    <mergeCell ref="AC1:AD1"/>
    <mergeCell ref="AF1:AG1"/>
    <mergeCell ref="AI1:AJ1"/>
    <mergeCell ref="H11:I11"/>
    <mergeCell ref="N1:P1"/>
    <mergeCell ref="R1:T1"/>
    <mergeCell ref="K1:L1"/>
    <mergeCell ref="V1:X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Advik Sakhare</dc:creator>
  <cp:lastModifiedBy>Advik Sakhare</cp:lastModifiedBy>
  <dcterms:created xsi:type="dcterms:W3CDTF">2026-04-06T05:33:18Z</dcterms:created>
  <dcterms:modified xsi:type="dcterms:W3CDTF">2026-04-27T05:15:22Z</dcterms:modified>
</cp:coreProperties>
</file>